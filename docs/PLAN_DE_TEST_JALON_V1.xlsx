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ynthèse" sheetId="1" state="visible" r:id="rId1"/>
    <sheet name="Plan de test" sheetId="2" state="visible" r:id="rId2"/>
    <sheet name="Recette Lot 1" sheetId="3" state="visible" r:id="rId3"/>
    <sheet name="Reprise des données" sheetId="4" state="visible" r:id="rId4"/>
    <sheet name="Jeu de données import" sheetId="5" state="visible" r:id="rId5"/>
    <sheet name="Traçabilité" sheetId="6" state="visible" r:id="rId6"/>
    <sheet name="Tests automatiques" sheetId="7" state="visible" r:id="rId7"/>
    <sheet name="Comptes de test" sheetId="8" state="visible" r:id="rId8"/>
    <sheet name="Anomalies" sheetId="9" state="visible" r:id="rId9"/>
  </sheets>
  <definedNames>
    <definedName name="_xlnm._FilterDatabase" localSheetId="1" hidden="1">'Plan de test'!$A$4:$Q$92</definedName>
    <definedName name="_xlnm.Print_Titles" localSheetId="1">'Plan de test'!$4:$4</definedName>
    <definedName name="_xlnm._FilterDatabase" localSheetId="5" hidden="1">'Traçabilité'!$A$4:$K$32</definedName>
    <definedName name="_xlnm._FilterDatabase" localSheetId="8" hidden="1">'Anomalies'!$A$4:$L$64</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Calibri"/>
      <b val="1"/>
      <color rgb="001F3864"/>
      <sz val="16"/>
    </font>
    <font>
      <name val="Calibri"/>
      <i val="1"/>
      <color rgb="00595959"/>
      <sz val="10"/>
    </font>
    <font>
      <name val="Calibri"/>
      <i val="1"/>
      <color rgb="00595959"/>
      <sz val="9"/>
    </font>
    <font>
      <name val="Calibri"/>
      <b val="1"/>
      <color rgb="00FFFFFF"/>
      <sz val="10"/>
    </font>
    <font>
      <name val="Calibri"/>
      <b val="1"/>
      <color rgb="00000000"/>
      <sz val="10"/>
    </font>
    <font>
      <name val="Calibri"/>
      <color rgb="00000000"/>
      <sz val="10"/>
    </font>
    <font>
      <name val="Calibri"/>
      <b val="1"/>
      <color rgb="00FFFFFF"/>
      <sz val="11"/>
    </font>
    <font>
      <name val="Calibri"/>
      <b val="1"/>
      <color rgb="001F3864"/>
      <sz val="11"/>
    </font>
    <font>
      <name val="Calibri"/>
      <color rgb="00595959"/>
      <sz val="9"/>
    </font>
    <font>
      <name val="Calibri"/>
      <color rgb="00000000"/>
      <sz val="9"/>
    </font>
    <font>
      <name val="Calibri"/>
      <b val="1"/>
      <color rgb="001F3864"/>
      <sz val="12"/>
    </font>
  </fonts>
  <fills count="16">
    <fill>
      <patternFill/>
    </fill>
    <fill>
      <patternFill patternType="gray125"/>
    </fill>
    <fill>
      <patternFill patternType="solid">
        <fgColor rgb="001F3864"/>
        <bgColor rgb="001F3864"/>
      </patternFill>
    </fill>
    <fill>
      <patternFill patternType="solid">
        <fgColor rgb="00EAF1FB"/>
        <bgColor rgb="00EAF1FB"/>
      </patternFill>
    </fill>
    <fill>
      <patternFill patternType="solid">
        <fgColor rgb="00FFF8E5"/>
        <bgColor rgb="00FFF8E5"/>
      </patternFill>
    </fill>
    <fill>
      <patternFill patternType="solid">
        <fgColor rgb="00EAF6EC"/>
        <bgColor rgb="00EAF6EC"/>
      </patternFill>
    </fill>
    <fill>
      <patternFill patternType="solid">
        <fgColor rgb="00F7EBF7"/>
        <bgColor rgb="00F7EBF7"/>
      </patternFill>
    </fill>
    <fill>
      <patternFill patternType="solid">
        <fgColor rgb="00FDEDEC"/>
        <bgColor rgb="00FDEDEC"/>
      </patternFill>
    </fill>
    <fill>
      <patternFill patternType="solid">
        <fgColor rgb="00E8F6F8"/>
        <bgColor rgb="00E8F6F8"/>
      </patternFill>
    </fill>
    <fill>
      <patternFill patternType="solid">
        <fgColor rgb="00F4F4EA"/>
        <bgColor rgb="00F4F4EA"/>
      </patternFill>
    </fill>
    <fill>
      <patternFill patternType="solid">
        <fgColor rgb="00EEEEF8"/>
        <bgColor rgb="00EEEEF8"/>
      </patternFill>
    </fill>
    <fill>
      <patternFill patternType="solid">
        <fgColor rgb="002F5597"/>
        <bgColor rgb="002F5597"/>
      </patternFill>
    </fill>
    <fill>
      <patternFill patternType="solid">
        <fgColor rgb="00D9E2F3"/>
        <bgColor rgb="00D9E2F3"/>
      </patternFill>
    </fill>
    <fill>
      <patternFill patternType="solid">
        <fgColor rgb="00E2F0D9"/>
        <bgColor rgb="00E2F0D9"/>
      </patternFill>
    </fill>
    <fill>
      <patternFill patternType="solid">
        <fgColor rgb="00FDE9E7"/>
        <bgColor rgb="00FDE9E7"/>
      </patternFill>
    </fill>
    <fill>
      <patternFill patternType="solid">
        <fgColor rgb="00F2F2F2"/>
        <bgColor rgb="00F2F2F2"/>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51">
    <xf numFmtId="0" fontId="0" fillId="0" borderId="0" pivotButton="0" quotePrefix="0" xfId="0"/>
    <xf numFmtId="0" fontId="1" fillId="0" borderId="0" pivotButton="0" quotePrefix="0" xfId="0"/>
    <xf numFmtId="0" fontId="2" fillId="0" borderId="0" pivotButton="0" quotePrefix="0" xfId="0"/>
    <xf numFmtId="0" fontId="7" fillId="2" borderId="0" pivotButton="0" quotePrefix="0" xfId="0"/>
    <xf numFmtId="0" fontId="6" fillId="0" borderId="0" applyAlignment="1" pivotButton="0" quotePrefix="0" xfId="0">
      <alignment vertical="top" wrapText="1"/>
    </xf>
    <xf numFmtId="0" fontId="6" fillId="0" borderId="1" pivotButton="0" quotePrefix="0" xfId="0"/>
    <xf numFmtId="0" fontId="8" fillId="0" borderId="1" applyAlignment="1" pivotButton="0" quotePrefix="0" xfId="0">
      <alignment horizontal="center"/>
    </xf>
    <xf numFmtId="0" fontId="5" fillId="0" borderId="1" pivotButton="0" quotePrefix="0" xfId="0"/>
    <xf numFmtId="9" fontId="8" fillId="0" borderId="1" applyAlignment="1" pivotButton="0" quotePrefix="0" xfId="0">
      <alignment horizontal="center"/>
    </xf>
    <xf numFmtId="0" fontId="4" fillId="11" borderId="1" applyAlignment="1" pivotButton="0" quotePrefix="0" xfId="0">
      <alignment horizontal="center" vertical="center" wrapText="1"/>
    </xf>
    <xf numFmtId="0" fontId="0" fillId="0" borderId="1" applyAlignment="1" pivotButton="0" quotePrefix="0" xfId="0">
      <alignment horizontal="center"/>
    </xf>
    <xf numFmtId="9" fontId="0" fillId="0" borderId="1" applyAlignment="1" pivotButton="0" quotePrefix="0" xfId="0">
      <alignment horizontal="center"/>
    </xf>
    <xf numFmtId="0" fontId="5" fillId="12" borderId="1" pivotButton="0" quotePrefix="0" xfId="0"/>
    <xf numFmtId="0" fontId="5" fillId="12" borderId="1" applyAlignment="1" pivotButton="0" quotePrefix="0" xfId="0">
      <alignment horizontal="center"/>
    </xf>
    <xf numFmtId="9" fontId="0" fillId="12" borderId="1" applyAlignment="1" pivotButton="0" quotePrefix="0" xfId="0">
      <alignment horizontal="center"/>
    </xf>
    <xf numFmtId="0" fontId="4" fillId="11" borderId="1" pivotButton="0" quotePrefix="0" xfId="0"/>
    <xf numFmtId="0" fontId="0" fillId="0" borderId="4" pivotButton="0" quotePrefix="0" xfId="0"/>
    <xf numFmtId="0" fontId="0" fillId="0" borderId="5" pivotButton="0" quotePrefix="0" xfId="0"/>
    <xf numFmtId="0" fontId="6" fillId="0" borderId="1" applyAlignment="1" pivotButton="0" quotePrefix="0" xfId="0">
      <alignment vertical="top" wrapText="1"/>
    </xf>
    <xf numFmtId="0" fontId="5" fillId="0" borderId="1" applyAlignment="1" pivotButton="0" quotePrefix="0" xfId="0">
      <alignment horizontal="center" vertical="top"/>
    </xf>
    <xf numFmtId="0" fontId="9" fillId="0" borderId="0" applyAlignment="1" pivotButton="0" quotePrefix="0" xfId="0">
      <alignment vertical="top" wrapText="1"/>
    </xf>
    <xf numFmtId="0" fontId="5" fillId="0" borderId="1" applyAlignment="1" pivotButton="0" quotePrefix="0" xfId="0">
      <alignment vertical="top" wrapText="1"/>
    </xf>
    <xf numFmtId="0" fontId="10" fillId="0" borderId="1" applyAlignment="1" pivotButton="0" quotePrefix="0" xfId="0">
      <alignment vertical="top" wrapText="1"/>
    </xf>
    <xf numFmtId="0" fontId="3" fillId="0" borderId="0" pivotButton="0" quotePrefix="0" xfId="0"/>
    <xf numFmtId="0" fontId="4" fillId="2" borderId="1" applyAlignment="1" pivotButton="0" quotePrefix="0" xfId="0">
      <alignment horizontal="center" vertical="center" wrapText="1"/>
    </xf>
    <xf numFmtId="0" fontId="5" fillId="3" borderId="1" applyAlignment="1" pivotButton="0" quotePrefix="0" xfId="0">
      <alignment horizontal="left" vertical="top" wrapText="1"/>
    </xf>
    <xf numFmtId="0" fontId="6" fillId="3" borderId="1" applyAlignment="1" pivotButton="0" quotePrefix="0" xfId="0">
      <alignment horizontal="left" vertical="top" wrapText="1"/>
    </xf>
    <xf numFmtId="0" fontId="6" fillId="0" borderId="1" applyAlignment="1" pivotButton="0" quotePrefix="0" xfId="0">
      <alignment horizontal="left" vertical="top" wrapText="1"/>
    </xf>
    <xf numFmtId="0" fontId="6" fillId="0" borderId="1" applyAlignment="1" pivotButton="0" quotePrefix="0" xfId="0">
      <alignment horizontal="center" vertical="top" wrapText="1"/>
    </xf>
    <xf numFmtId="0" fontId="5" fillId="4" borderId="1" applyAlignment="1" pivotButton="0" quotePrefix="0" xfId="0">
      <alignment horizontal="left" vertical="top" wrapText="1"/>
    </xf>
    <xf numFmtId="0" fontId="6" fillId="4" borderId="1" applyAlignment="1" pivotButton="0" quotePrefix="0" xfId="0">
      <alignment horizontal="left" vertical="top" wrapText="1"/>
    </xf>
    <xf numFmtId="0" fontId="5" fillId="5" borderId="1" applyAlignment="1" pivotButton="0" quotePrefix="0" xfId="0">
      <alignment horizontal="left" vertical="top" wrapText="1"/>
    </xf>
    <xf numFmtId="0" fontId="6" fillId="5" borderId="1" applyAlignment="1" pivotButton="0" quotePrefix="0" xfId="0">
      <alignment horizontal="left" vertical="top" wrapText="1"/>
    </xf>
    <xf numFmtId="0" fontId="5" fillId="6" borderId="1" applyAlignment="1" pivotButton="0" quotePrefix="0" xfId="0">
      <alignment horizontal="left" vertical="top" wrapText="1"/>
    </xf>
    <xf numFmtId="0" fontId="6" fillId="6" borderId="1" applyAlignment="1" pivotButton="0" quotePrefix="0" xfId="0">
      <alignment horizontal="left" vertical="top" wrapText="1"/>
    </xf>
    <xf numFmtId="0" fontId="5" fillId="7" borderId="1" applyAlignment="1" pivotButton="0" quotePrefix="0" xfId="0">
      <alignment horizontal="left" vertical="top" wrapText="1"/>
    </xf>
    <xf numFmtId="0" fontId="6" fillId="7" borderId="1" applyAlignment="1" pivotButton="0" quotePrefix="0" xfId="0">
      <alignment horizontal="left" vertical="top" wrapText="1"/>
    </xf>
    <xf numFmtId="0" fontId="5" fillId="8" borderId="1" applyAlignment="1" pivotButton="0" quotePrefix="0" xfId="0">
      <alignment horizontal="left" vertical="top" wrapText="1"/>
    </xf>
    <xf numFmtId="0" fontId="6" fillId="8" borderId="1" applyAlignment="1" pivotButton="0" quotePrefix="0" xfId="0">
      <alignment horizontal="left" vertical="top" wrapText="1"/>
    </xf>
    <xf numFmtId="0" fontId="5" fillId="9" borderId="1" applyAlignment="1" pivotButton="0" quotePrefix="0" xfId="0">
      <alignment horizontal="left" vertical="top" wrapText="1"/>
    </xf>
    <xf numFmtId="0" fontId="6" fillId="9" borderId="1" applyAlignment="1" pivotButton="0" quotePrefix="0" xfId="0">
      <alignment horizontal="left" vertical="top" wrapText="1"/>
    </xf>
    <xf numFmtId="0" fontId="5" fillId="10" borderId="1" applyAlignment="1" pivotButton="0" quotePrefix="0" xfId="0">
      <alignment horizontal="left" vertical="top" wrapText="1"/>
    </xf>
    <xf numFmtId="0" fontId="6" fillId="10" borderId="1" applyAlignment="1" pivotButton="0" quotePrefix="0" xfId="0">
      <alignment horizontal="left" vertical="top" wrapText="1"/>
    </xf>
    <xf numFmtId="0" fontId="7" fillId="11" borderId="0" pivotButton="0" quotePrefix="0" xfId="0"/>
    <xf numFmtId="0" fontId="5" fillId="0" borderId="1" applyAlignment="1" pivotButton="0" quotePrefix="0" xfId="0">
      <alignment horizontal="left" vertical="top" wrapText="1"/>
    </xf>
    <xf numFmtId="0" fontId="11" fillId="0" borderId="0" pivotButton="0" quotePrefix="0" xfId="0"/>
    <xf numFmtId="0" fontId="6" fillId="13" borderId="1" applyAlignment="1" pivotButton="0" quotePrefix="0" xfId="0">
      <alignment horizontal="left" vertical="top" wrapText="1"/>
    </xf>
    <xf numFmtId="0" fontId="6" fillId="14" borderId="1" applyAlignment="1" pivotButton="0" quotePrefix="0" xfId="0">
      <alignment horizontal="left" vertical="top" wrapText="1"/>
    </xf>
    <xf numFmtId="0" fontId="6" fillId="15" borderId="1" applyAlignment="1" pivotButton="0" quotePrefix="0" xfId="0">
      <alignment horizontal="left" vertical="top" wrapText="1"/>
    </xf>
    <xf numFmtId="0" fontId="3" fillId="0" borderId="0" applyAlignment="1" pivotButton="0" quotePrefix="0" xfId="0">
      <alignment vertical="top" wrapText="1"/>
    </xf>
    <xf numFmtId="0" fontId="0" fillId="12" borderId="1" pivotButton="0" quotePrefix="0" xfId="0"/>
  </cellXfs>
  <cellStyles count="1">
    <cellStyle name="Normal" xfId="0" builtinId="0" hidden="0"/>
  </cellStyles>
  <dxfs count="17">
    <dxf>
      <font>
        <name val="Calibri"/>
        <b val="1"/>
        <color rgb="00006100"/>
      </font>
      <fill>
        <patternFill patternType="solid">
          <fgColor rgb="00C6EFCE"/>
          <bgColor rgb="00C6EFCE"/>
        </patternFill>
      </fill>
    </dxf>
    <dxf>
      <font>
        <name val="Calibri"/>
        <b val="1"/>
        <color rgb="009C5700"/>
      </font>
      <fill>
        <patternFill patternType="solid">
          <fgColor rgb="00FFEB9C"/>
          <bgColor rgb="00FFEB9C"/>
        </patternFill>
      </fill>
    </dxf>
    <dxf>
      <font>
        <name val="Calibri"/>
        <b val="1"/>
        <color rgb="00006100"/>
        <sz val="10"/>
      </font>
      <fill>
        <patternFill patternType="solid">
          <fgColor rgb="00C6EFCE"/>
          <bgColor rgb="00C6EFCE"/>
        </patternFill>
      </fill>
    </dxf>
    <dxf>
      <font>
        <name val="Calibri"/>
        <b val="1"/>
        <color rgb="009C0006"/>
        <sz val="10"/>
      </font>
      <fill>
        <patternFill patternType="solid">
          <fgColor rgb="00FFC7CE"/>
          <bgColor rgb="00FFC7CE"/>
        </patternFill>
      </fill>
    </dxf>
    <dxf>
      <font>
        <name val="Calibri"/>
        <b val="1"/>
        <color rgb="009C5700"/>
        <sz val="10"/>
      </font>
      <fill>
        <patternFill patternType="solid">
          <fgColor rgb="00FFEB9C"/>
          <bgColor rgb="00FFEB9C"/>
        </patternFill>
      </fill>
    </dxf>
    <dxf>
      <font>
        <name val="Calibri"/>
        <b val="1"/>
        <color rgb="00595959"/>
        <sz val="10"/>
      </font>
      <fill>
        <patternFill patternType="solid">
          <fgColor rgb="00E7E6E6"/>
          <bgColor rgb="00E7E6E6"/>
        </patternFill>
      </fill>
    </dxf>
    <dxf>
      <font>
        <name val="Calibri"/>
        <b val="1"/>
        <color rgb="001F3864"/>
        <sz val="10"/>
      </font>
      <fill>
        <patternFill patternType="solid">
          <fgColor rgb="00DDEBF7"/>
          <bgColor rgb="00DDEBF7"/>
        </patternFill>
      </fill>
    </dxf>
    <dxf>
      <fill>
        <patternFill patternType="solid">
          <fgColor rgb="00E2F0D9"/>
          <bgColor rgb="00E2F0D9"/>
        </patternFill>
      </fill>
    </dxf>
    <dxf>
      <fill>
        <patternFill patternType="solid">
          <fgColor rgb="00FFF2CC"/>
          <bgColor rgb="00FFF2CC"/>
        </patternFill>
      </fill>
    </dxf>
    <dxf>
      <fill>
        <patternFill patternType="solid">
          <fgColor rgb="00E7E6E6"/>
          <bgColor rgb="00E7E6E6"/>
        </patternFill>
      </fill>
    </dxf>
    <dxf>
      <font>
        <name val="Calibri"/>
        <b val="1"/>
        <color rgb="009C0006"/>
      </font>
      <fill>
        <patternFill patternType="solid">
          <fgColor rgb="00FFC7CE"/>
          <bgColor rgb="00FFC7CE"/>
        </patternFill>
      </fill>
    </dxf>
    <dxf>
      <font>
        <name val="Calibri"/>
        <b val="1"/>
        <color rgb="001F3864"/>
      </font>
      <fill>
        <patternFill patternType="solid">
          <fgColor rgb="00DDEBF7"/>
          <bgColor rgb="00DDEBF7"/>
        </patternFill>
      </fill>
    </dxf>
    <dxf>
      <font>
        <name val="Calibri"/>
        <b val="1"/>
        <color rgb="00595959"/>
      </font>
      <fill>
        <patternFill patternType="solid">
          <fgColor rgb="00E7E6E6"/>
          <bgColor rgb="00E7E6E6"/>
        </patternFill>
      </fill>
    </dxf>
    <dxf>
      <fill>
        <patternFill patternType="solid">
          <fgColor rgb="00FFC7CE"/>
          <bgColor rgb="00FFC7CE"/>
        </patternFill>
      </fill>
    </dxf>
    <dxf>
      <fill>
        <patternFill patternType="solid">
          <fgColor rgb="00FFEB9C"/>
          <bgColor rgb="00FFEB9C"/>
        </patternFill>
      </fill>
    </dxf>
    <dxf>
      <fill>
        <patternFill patternType="solid">
          <fgColor rgb="00DDEBF7"/>
          <bgColor rgb="00DDEBF7"/>
        </patternFill>
      </fill>
    </dxf>
    <dxf>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fitToPage="1"/>
  </sheetPr>
  <dimension ref="A1:H61"/>
  <sheetViews>
    <sheetView showGridLines="0" workbookViewId="0">
      <pane ySplit="3" topLeftCell="A4" activePane="bottomLeft" state="frozen"/>
      <selection pane="bottomLeft"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6" customWidth="1" min="6" max="6"/>
    <col width="16" customWidth="1" min="7" max="7"/>
    <col width="16" customWidth="1" min="8" max="8"/>
  </cols>
  <sheetData>
    <row r="1" ht="26" customHeight="1">
      <c r="A1" s="1" t="inlineStr">
        <is>
          <t>VITRACO Moto — Plan de test du jalon V1</t>
        </is>
      </c>
    </row>
    <row r="2">
      <c r="A2" s="2" t="inlineStr">
        <is>
          <t>Lot 1 « Stock et logistique » · document de recette · version du 18 octobre 2026</t>
        </is>
      </c>
    </row>
    <row r="4">
      <c r="A4" s="3" t="inlineStr">
        <is>
          <t>1. Objet et conditions de passage</t>
        </is>
      </c>
    </row>
    <row r="5" ht="43.5" customHeight="1">
      <c r="A5" s="4" t="inlineStr">
        <is>
          <t>Le jalon V1 correspond au Lot 1 « Stock et logistique » du plan de livraison (SRS 13.4). Condition de mise en service : « Stock initial importé par châssis et rapproché par scan au magasin et dans les boutiques ». Ce classeur contient les cas de test à jouer à la main, les scénarios de recette de bout en bout, la checklist de reprise des données, la traçabilité vers les user stories, et le suivi des anomalies.</t>
        </is>
      </c>
    </row>
    <row r="6" ht="30" customHeight="1">
      <c r="A6" s="4" t="inlineStr">
        <is>
          <t>Périmètre : sprints S1 (socle et catalogue), S2 (importation et réception par scan) et S3 (stock, transferts) : US-001 à 008, 010 à 013, 020 à 027, 040 à 046 et 155, avec les modules ADM, CAT, APP, REC, STK, TRF, l'import du stock initial et le rapprochement par pointage.</t>
        </is>
      </c>
    </row>
    <row r="7" ht="30" customHeight="1">
      <c r="A7" s="4" t="inlineStr">
        <is>
          <t>Les scénarios R1 (partie réception), R6 et R10 (partie droits) du SRS 14.1 sont repris dans l'onglet « Recette Lot 1 ». Les scénarios R2 à R5, R7 à R9, R11 et R12 relèvent des lots 2 à 4.</t>
        </is>
      </c>
    </row>
    <row r="9">
      <c r="A9" s="3" t="inlineStr">
        <is>
          <t>2. Avancement (calculé à partir de l'onglet « Plan de test »)</t>
        </is>
      </c>
    </row>
    <row r="10">
      <c r="A10" s="5" t="inlineStr">
        <is>
          <t>Cas de test au plan</t>
        </is>
      </c>
      <c r="B10" s="6">
        <f>COUNTA('Plan de test'!$A$5:$A$152)</f>
        <v/>
      </c>
    </row>
    <row r="11">
      <c r="A11" s="5" t="inlineStr">
        <is>
          <t>Cas à jouer (livrés ou partiels)</t>
        </is>
      </c>
      <c r="B11" s="6">
        <f>COUNTA('Plan de test'!$A$5:$A$152)-COUNTIF('Plan de test'!$M$5:$M$152,"Non livré")-COUNTIF('Plan de test'!$M$5:$M$152,"Non applicable")</f>
        <v/>
      </c>
    </row>
    <row r="12">
      <c r="A12" s="5" t="inlineStr">
        <is>
          <t>Réussis</t>
        </is>
      </c>
      <c r="B12" s="6">
        <f>COUNTIF('Plan de test'!$M$5:$M$152,"Réussi")</f>
        <v/>
      </c>
    </row>
    <row r="13">
      <c r="A13" s="5" t="inlineStr">
        <is>
          <t>En échec</t>
        </is>
      </c>
      <c r="B13" s="6">
        <f>COUNTIF('Plan de test'!$M$5:$M$152,"Échec")</f>
        <v/>
      </c>
    </row>
    <row r="14">
      <c r="A14" s="5" t="inlineStr">
        <is>
          <t>Bloqués</t>
        </is>
      </c>
      <c r="B14" s="6">
        <f>COUNTIF('Plan de test'!$M$5:$M$152,"Bloqué")</f>
        <v/>
      </c>
    </row>
    <row r="15">
      <c r="A15" s="5" t="inlineStr">
        <is>
          <t>Restant à tester</t>
        </is>
      </c>
      <c r="B15" s="6">
        <f>COUNTIF('Plan de test'!$M$5:$M$152,"À tester")</f>
        <v/>
      </c>
    </row>
    <row r="16">
      <c r="A16" s="5" t="inlineStr">
        <is>
          <t>Non livrés (à rejouer plus tard)</t>
        </is>
      </c>
      <c r="B16" s="6">
        <f>COUNTIF('Plan de test'!$M$5:$M$152,"Non livré")</f>
        <v/>
      </c>
    </row>
    <row r="17">
      <c r="A17" s="7" t="inlineStr">
        <is>
          <t>Taux d'exécution</t>
        </is>
      </c>
      <c r="B17" s="8">
        <f>IF(B11=0,0,(B12+B13+B14)/B11)</f>
        <v/>
      </c>
    </row>
    <row r="18">
      <c r="A18" s="7" t="inlineStr">
        <is>
          <t>Taux de réussite (sur cas exécutés)</t>
        </is>
      </c>
      <c r="B18" s="8">
        <f>IF((B12+B13+B14)=0,0,B12/(B12+B13+B14))</f>
        <v/>
      </c>
    </row>
    <row r="20">
      <c r="A20" s="3" t="inlineStr">
        <is>
          <t>3. Avancement par module</t>
        </is>
      </c>
    </row>
    <row r="21">
      <c r="A21" s="9" t="inlineStr">
        <is>
          <t>Module</t>
        </is>
      </c>
      <c r="B21" s="9" t="inlineStr">
        <is>
          <t>Cas</t>
        </is>
      </c>
      <c r="C21" s="9" t="inlineStr">
        <is>
          <t>À tester</t>
        </is>
      </c>
      <c r="D21" s="9" t="inlineStr">
        <is>
          <t>Réussis</t>
        </is>
      </c>
      <c r="E21" s="9" t="inlineStr">
        <is>
          <t>Échecs</t>
        </is>
      </c>
      <c r="F21" s="9" t="inlineStr">
        <is>
          <t>Bloqués</t>
        </is>
      </c>
      <c r="G21" s="9" t="inlineStr">
        <is>
          <t>Non livrés</t>
        </is>
      </c>
      <c r="H21" s="9" t="inlineStr">
        <is>
          <t>% réussi</t>
        </is>
      </c>
    </row>
    <row r="22">
      <c r="A22" s="5" t="inlineStr">
        <is>
          <t>ADM Administration</t>
        </is>
      </c>
      <c r="B22" s="10">
        <f>COUNTIF('Plan de test'!$B$5:$B$152,A22)</f>
        <v/>
      </c>
      <c r="C22" s="10">
        <f>COUNTIFS('Plan de test'!$B$5:$B$152,A22,'Plan de test'!$M$5:$M$152,"À tester")</f>
        <v/>
      </c>
      <c r="D22" s="10">
        <f>COUNTIFS('Plan de test'!$B$5:$B$152,A22,'Plan de test'!$M$5:$M$152,"Réussi")</f>
        <v/>
      </c>
      <c r="E22" s="10">
        <f>COUNTIFS('Plan de test'!$B$5:$B$152,A22,'Plan de test'!$M$5:$M$152,"Échec")</f>
        <v/>
      </c>
      <c r="F22" s="10">
        <f>COUNTIFS('Plan de test'!$B$5:$B$152,A22,'Plan de test'!$M$5:$M$152,"Bloqué")</f>
        <v/>
      </c>
      <c r="G22" s="10">
        <f>COUNTIFS('Plan de test'!$B$5:$B$152,A22,'Plan de test'!$M$5:$M$152,"Non livré")</f>
        <v/>
      </c>
      <c r="H22" s="11">
        <f>IF(B22-G22=0,0,D22/(B22-G22))</f>
        <v/>
      </c>
    </row>
    <row r="23">
      <c r="A23" s="5" t="inlineStr">
        <is>
          <t>CAT Catalogue et châssis</t>
        </is>
      </c>
      <c r="B23" s="10">
        <f>COUNTIF('Plan de test'!$B$5:$B$152,A23)</f>
        <v/>
      </c>
      <c r="C23" s="10">
        <f>COUNTIFS('Plan de test'!$B$5:$B$152,A23,'Plan de test'!$M$5:$M$152,"À tester")</f>
        <v/>
      </c>
      <c r="D23" s="10">
        <f>COUNTIFS('Plan de test'!$B$5:$B$152,A23,'Plan de test'!$M$5:$M$152,"Réussi")</f>
        <v/>
      </c>
      <c r="E23" s="10">
        <f>COUNTIFS('Plan de test'!$B$5:$B$152,A23,'Plan de test'!$M$5:$M$152,"Échec")</f>
        <v/>
      </c>
      <c r="F23" s="10">
        <f>COUNTIFS('Plan de test'!$B$5:$B$152,A23,'Plan de test'!$M$5:$M$152,"Bloqué")</f>
        <v/>
      </c>
      <c r="G23" s="10">
        <f>COUNTIFS('Plan de test'!$B$5:$B$152,A23,'Plan de test'!$M$5:$M$152,"Non livré")</f>
        <v/>
      </c>
      <c r="H23" s="11">
        <f>IF(B23-G23=0,0,D23/(B23-G23))</f>
        <v/>
      </c>
    </row>
    <row r="24">
      <c r="A24" s="5" t="inlineStr">
        <is>
          <t>APP Approvisionnements</t>
        </is>
      </c>
      <c r="B24" s="10">
        <f>COUNTIF('Plan de test'!$B$5:$B$152,A24)</f>
        <v/>
      </c>
      <c r="C24" s="10">
        <f>COUNTIFS('Plan de test'!$B$5:$B$152,A24,'Plan de test'!$M$5:$M$152,"À tester")</f>
        <v/>
      </c>
      <c r="D24" s="10">
        <f>COUNTIFS('Plan de test'!$B$5:$B$152,A24,'Plan de test'!$M$5:$M$152,"Réussi")</f>
        <v/>
      </c>
      <c r="E24" s="10">
        <f>COUNTIFS('Plan de test'!$B$5:$B$152,A24,'Plan de test'!$M$5:$M$152,"Échec")</f>
        <v/>
      </c>
      <c r="F24" s="10">
        <f>COUNTIFS('Plan de test'!$B$5:$B$152,A24,'Plan de test'!$M$5:$M$152,"Bloqué")</f>
        <v/>
      </c>
      <c r="G24" s="10">
        <f>COUNTIFS('Plan de test'!$B$5:$B$152,A24,'Plan de test'!$M$5:$M$152,"Non livré")</f>
        <v/>
      </c>
      <c r="H24" s="11">
        <f>IF(B24-G24=0,0,D24/(B24-G24))</f>
        <v/>
      </c>
    </row>
    <row r="25">
      <c r="A25" s="5" t="inlineStr">
        <is>
          <t>REC Réceptions</t>
        </is>
      </c>
      <c r="B25" s="10">
        <f>COUNTIF('Plan de test'!$B$5:$B$152,A25)</f>
        <v/>
      </c>
      <c r="C25" s="10">
        <f>COUNTIFS('Plan de test'!$B$5:$B$152,A25,'Plan de test'!$M$5:$M$152,"À tester")</f>
        <v/>
      </c>
      <c r="D25" s="10">
        <f>COUNTIFS('Plan de test'!$B$5:$B$152,A25,'Plan de test'!$M$5:$M$152,"Réussi")</f>
        <v/>
      </c>
      <c r="E25" s="10">
        <f>COUNTIFS('Plan de test'!$B$5:$B$152,A25,'Plan de test'!$M$5:$M$152,"Échec")</f>
        <v/>
      </c>
      <c r="F25" s="10">
        <f>COUNTIFS('Plan de test'!$B$5:$B$152,A25,'Plan de test'!$M$5:$M$152,"Bloqué")</f>
        <v/>
      </c>
      <c r="G25" s="10">
        <f>COUNTIFS('Plan de test'!$B$5:$B$152,A25,'Plan de test'!$M$5:$M$152,"Non livré")</f>
        <v/>
      </c>
      <c r="H25" s="11">
        <f>IF(B25-G25=0,0,D25/(B25-G25))</f>
        <v/>
      </c>
    </row>
    <row r="26">
      <c r="A26" s="5" t="inlineStr">
        <is>
          <t>STK Stock</t>
        </is>
      </c>
      <c r="B26" s="10">
        <f>COUNTIF('Plan de test'!$B$5:$B$152,A26)</f>
        <v/>
      </c>
      <c r="C26" s="10">
        <f>COUNTIFS('Plan de test'!$B$5:$B$152,A26,'Plan de test'!$M$5:$M$152,"À tester")</f>
        <v/>
      </c>
      <c r="D26" s="10">
        <f>COUNTIFS('Plan de test'!$B$5:$B$152,A26,'Plan de test'!$M$5:$M$152,"Réussi")</f>
        <v/>
      </c>
      <c r="E26" s="10">
        <f>COUNTIFS('Plan de test'!$B$5:$B$152,A26,'Plan de test'!$M$5:$M$152,"Échec")</f>
        <v/>
      </c>
      <c r="F26" s="10">
        <f>COUNTIFS('Plan de test'!$B$5:$B$152,A26,'Plan de test'!$M$5:$M$152,"Bloqué")</f>
        <v/>
      </c>
      <c r="G26" s="10">
        <f>COUNTIFS('Plan de test'!$B$5:$B$152,A26,'Plan de test'!$M$5:$M$152,"Non livré")</f>
        <v/>
      </c>
      <c r="H26" s="11">
        <f>IF(B26-G26=0,0,D26/(B26-G26))</f>
        <v/>
      </c>
    </row>
    <row r="27">
      <c r="A27" s="5" t="inlineStr">
        <is>
          <t>TRF Transferts</t>
        </is>
      </c>
      <c r="B27" s="10">
        <f>COUNTIF('Plan de test'!$B$5:$B$152,A27)</f>
        <v/>
      </c>
      <c r="C27" s="10">
        <f>COUNTIFS('Plan de test'!$B$5:$B$152,A27,'Plan de test'!$M$5:$M$152,"À tester")</f>
        <v/>
      </c>
      <c r="D27" s="10">
        <f>COUNTIFS('Plan de test'!$B$5:$B$152,A27,'Plan de test'!$M$5:$M$152,"Réussi")</f>
        <v/>
      </c>
      <c r="E27" s="10">
        <f>COUNTIFS('Plan de test'!$B$5:$B$152,A27,'Plan de test'!$M$5:$M$152,"Échec")</f>
        <v/>
      </c>
      <c r="F27" s="10">
        <f>COUNTIFS('Plan de test'!$B$5:$B$152,A27,'Plan de test'!$M$5:$M$152,"Bloqué")</f>
        <v/>
      </c>
      <c r="G27" s="10">
        <f>COUNTIFS('Plan de test'!$B$5:$B$152,A27,'Plan de test'!$M$5:$M$152,"Non livré")</f>
        <v/>
      </c>
      <c r="H27" s="11">
        <f>IF(B27-G27=0,0,D27/(B27-G27))</f>
        <v/>
      </c>
    </row>
    <row r="28">
      <c r="A28" s="5" t="inlineStr">
        <is>
          <t>REP Reprise du stock</t>
        </is>
      </c>
      <c r="B28" s="10">
        <f>COUNTIF('Plan de test'!$B$5:$B$152,A28)</f>
        <v/>
      </c>
      <c r="C28" s="10">
        <f>COUNTIFS('Plan de test'!$B$5:$B$152,A28,'Plan de test'!$M$5:$M$152,"À tester")</f>
        <v/>
      </c>
      <c r="D28" s="10">
        <f>COUNTIFS('Plan de test'!$B$5:$B$152,A28,'Plan de test'!$M$5:$M$152,"Réussi")</f>
        <v/>
      </c>
      <c r="E28" s="10">
        <f>COUNTIFS('Plan de test'!$B$5:$B$152,A28,'Plan de test'!$M$5:$M$152,"Échec")</f>
        <v/>
      </c>
      <c r="F28" s="10">
        <f>COUNTIFS('Plan de test'!$B$5:$B$152,A28,'Plan de test'!$M$5:$M$152,"Bloqué")</f>
        <v/>
      </c>
      <c r="G28" s="10">
        <f>COUNTIFS('Plan de test'!$B$5:$B$152,A28,'Plan de test'!$M$5:$M$152,"Non livré")</f>
        <v/>
      </c>
      <c r="H28" s="11">
        <f>IF(B28-G28=0,0,D28/(B28-G28))</f>
        <v/>
      </c>
    </row>
    <row r="29">
      <c r="A29" s="5" t="inlineStr">
        <is>
          <t>TRV Transverse</t>
        </is>
      </c>
      <c r="B29" s="10">
        <f>COUNTIF('Plan de test'!$B$5:$B$152,A29)</f>
        <v/>
      </c>
      <c r="C29" s="10">
        <f>COUNTIFS('Plan de test'!$B$5:$B$152,A29,'Plan de test'!$M$5:$M$152,"À tester")</f>
        <v/>
      </c>
      <c r="D29" s="10">
        <f>COUNTIFS('Plan de test'!$B$5:$B$152,A29,'Plan de test'!$M$5:$M$152,"Réussi")</f>
        <v/>
      </c>
      <c r="E29" s="10">
        <f>COUNTIFS('Plan de test'!$B$5:$B$152,A29,'Plan de test'!$M$5:$M$152,"Échec")</f>
        <v/>
      </c>
      <c r="F29" s="10">
        <f>COUNTIFS('Plan de test'!$B$5:$B$152,A29,'Plan de test'!$M$5:$M$152,"Bloqué")</f>
        <v/>
      </c>
      <c r="G29" s="10">
        <f>COUNTIFS('Plan de test'!$B$5:$B$152,A29,'Plan de test'!$M$5:$M$152,"Non livré")</f>
        <v/>
      </c>
      <c r="H29" s="11">
        <f>IF(B29-G29=0,0,D29/(B29-G29))</f>
        <v/>
      </c>
    </row>
    <row r="30">
      <c r="A30" s="12" t="inlineStr">
        <is>
          <t>Total</t>
        </is>
      </c>
      <c r="B30" s="13">
        <f>SUM(B22:B29)</f>
        <v/>
      </c>
      <c r="C30" s="13">
        <f>SUM(C22:C29)</f>
        <v/>
      </c>
      <c r="D30" s="13">
        <f>SUM(D22:D29)</f>
        <v/>
      </c>
      <c r="E30" s="13">
        <f>SUM(E22:E29)</f>
        <v/>
      </c>
      <c r="F30" s="13">
        <f>SUM(F22:F29)</f>
        <v/>
      </c>
      <c r="G30" s="13">
        <f>SUM(G22:G29)</f>
        <v/>
      </c>
      <c r="H30" s="14">
        <f>IF(B30-G30=0,0,D30/(B30-G30))</f>
        <v/>
      </c>
    </row>
    <row r="32">
      <c r="A32" s="3" t="inlineStr">
        <is>
          <t>4. Critères de sortie du jalon (go / no-go)</t>
        </is>
      </c>
    </row>
    <row r="33">
      <c r="A33" s="15" t="inlineStr">
        <is>
          <t>Critère</t>
        </is>
      </c>
      <c r="B33" s="15" t="inlineStr">
        <is>
          <t>État</t>
        </is>
      </c>
      <c r="C33" s="15" t="inlineStr">
        <is>
          <t>Précision</t>
        </is>
      </c>
      <c r="D33" s="16" t="n"/>
      <c r="E33" s="16" t="n"/>
      <c r="F33" s="16" t="n"/>
      <c r="G33" s="16" t="n"/>
      <c r="H33" s="17" t="n"/>
    </row>
    <row r="34" ht="30" customHeight="1">
      <c r="A34" s="18" t="inlineStr">
        <is>
          <t>Tous les cas « Doit » livrés sont réussis</t>
        </is>
      </c>
      <c r="B34" s="19">
        <f>IF(COUNTIFS('Plan de test'!$J$5:$J$152,"M",'Plan de test'!$K$5:$K$152,"&lt;&gt;À livrer",'Plan de test'!$M$5:$M$152,"&lt;&gt;Réussi")=0,"OK","À faire")</f>
        <v/>
      </c>
      <c r="C34" s="20" t="inlineStr">
        <is>
          <t>Les cas partiels sont jugés sur ce qui est livré ; l'écart est consigné dans les limites connues.</t>
        </is>
      </c>
    </row>
    <row r="35" ht="30" customHeight="1">
      <c r="A35" s="18" t="inlineStr">
        <is>
          <t>Aucun cas en échec ni bloqué</t>
        </is>
      </c>
      <c r="B35" s="19">
        <f>IF(COUNTIF('Plan de test'!$M$5:$M$152,"Échec")+COUNTIF('Plan de test'!$M$5:$M$152,"Bloqué")=0,"OK","À faire")</f>
        <v/>
      </c>
      <c r="C35" s="20" t="inlineStr">
        <is>
          <t>Chaque échec ouvre une anomalie dans l'onglet « Anomalies ».</t>
        </is>
      </c>
    </row>
    <row r="36" ht="30" customHeight="1">
      <c r="A36" s="18" t="inlineStr">
        <is>
          <t>Aucune anomalie bloquante ou majeure ouverte</t>
        </is>
      </c>
      <c r="B36" s="19">
        <f>IF(COUNTIFS(Anomalies!$D$5:$D$300,"Bloquante",Anomalies!$G$5:$G$300,"&lt;&gt;Fermée")+COUNTIFS(Anomalies!$D$5:$D$300,"Majeure",Anomalies!$G$5:$G$300,"&lt;&gt;Fermée")=0,"OK","À faire")</f>
        <v/>
      </c>
      <c r="C36" s="20" t="inlineStr">
        <is>
          <t>Seules des anomalies mineures peuvent rester ouvertes, avec un plan de correction.</t>
        </is>
      </c>
    </row>
    <row r="37" ht="30" customHeight="1">
      <c r="A37" s="18" t="inlineStr">
        <is>
          <t>Stock d'ouverture rapproché à écart nul sur chaque site</t>
        </is>
      </c>
      <c r="B37" s="19">
        <f>IF(AND('Reprise des données'!H17="Oui",'Reprise des données'!H18="Oui",'Reprise des données'!H19="Oui"),"OK","À faire")</f>
        <v/>
      </c>
      <c r="C37" s="20" t="inlineStr">
        <is>
          <t>Magasin, boutique pilote, seconde boutique : voir le tableau de rapprochement de l'onglet « Reprise des données ».</t>
        </is>
      </c>
    </row>
    <row r="38" ht="30" customHeight="1">
      <c r="A38" s="18" t="inlineStr">
        <is>
          <t>Scénarios RV1-01 à RV1-07 joués sans écart</t>
        </is>
      </c>
      <c r="B38" s="19">
        <f>IF(AND(COUNTIF('Recette Lot 1'!$G$5:$G$200,"Échec")=0,COUNTIF('Recette Lot 1'!$G$5:$G$200,"Bloqué")=0,COUNTIF('Recette Lot 1'!$G$5:$G$200,"À faire")=0),"OK","À faire")</f>
        <v/>
      </c>
      <c r="C38" s="20" t="inlineStr">
        <is>
          <t>Chaque étape de chaque scénario doit être renseignée « Réussi ».</t>
        </is>
      </c>
    </row>
    <row r="39" ht="30" customHeight="1">
      <c r="A39" s="18" t="inlineStr">
        <is>
          <t>Données de reprise validées par leurs responsables</t>
        </is>
      </c>
      <c r="B39" s="19">
        <f>IF(COUNTIF('Reprise des données'!$G$5:$G$10,"Validé")=ROWS('Reprise des données'!$G$5:$G$10),"OK","À faire")</f>
        <v/>
      </c>
      <c r="C39" s="20" t="inlineStr">
        <is>
          <t>Onglet « Reprise des données », colonne Statut.</t>
        </is>
      </c>
    </row>
    <row r="40" ht="30" customHeight="1">
      <c r="A40" s="18" t="inlineStr">
        <is>
          <t>Tests automatiques au vert</t>
        </is>
      </c>
      <c r="B40" s="19" t="inlineStr">
        <is>
          <t>À faire</t>
        </is>
      </c>
      <c r="C40" s="20" t="inlineStr">
        <is>
          <t>À confirmer avant la recette : exécuter la suite complète (mvn test) sur la version déployée.</t>
        </is>
      </c>
    </row>
    <row r="42">
      <c r="A42" s="3" t="inlineStr">
        <is>
          <t>5. Limites connues du lot (cas « Partiel » ou « À livrer »)</t>
        </is>
      </c>
    </row>
    <row r="43">
      <c r="A43" s="15" t="inlineStr">
        <is>
          <t>Fonction</t>
        </is>
      </c>
      <c r="B43" s="15" t="inlineStr">
        <is>
          <t>Réf. SRS</t>
        </is>
      </c>
      <c r="C43" s="15" t="inlineStr">
        <is>
          <t>Situation dans ce lot</t>
        </is>
      </c>
      <c r="D43" s="16" t="n"/>
      <c r="E43" s="16" t="n"/>
      <c r="F43" s="16" t="n"/>
      <c r="G43" s="16" t="n"/>
      <c r="H43" s="17" t="n"/>
    </row>
    <row r="44" ht="30.4" customHeight="1">
      <c r="A44" s="21" t="inlineStr">
        <is>
          <t>Photo des motos endommagées et pièces jointes</t>
        </is>
      </c>
      <c r="B44" s="22" t="inlineStr">
        <is>
          <t>US-027, US-042, EF-TRF-06</t>
        </is>
      </c>
      <c r="C44" s="4" t="inlineStr">
        <is>
          <t>Le module Documents (pièces, photos, archivage du bon signé) arrive au sprint S10. Dans ce lot : motif texte et référence de pièce.</t>
        </is>
      </c>
    </row>
    <row r="45" ht="18" customHeight="1">
      <c r="A45" s="21" t="inlineStr">
        <is>
          <t>Scan par appareil photo (caméra)</t>
        </is>
      </c>
      <c r="B45" s="22" t="inlineStr">
        <is>
          <t>US-024, EF-REC-10</t>
        </is>
      </c>
      <c r="C45" s="4" t="inlineStr">
        <is>
          <t>Saisie au clavier et lecteur de codes-barres externe livrés ; la lecture par caméra est à ajouter.</t>
        </is>
      </c>
    </row>
    <row r="46" ht="18" customHeight="1">
      <c r="A46" s="21" t="inlineStr">
        <is>
          <t>Stock à une date passée</t>
        </is>
      </c>
      <c r="B46" s="22" t="inlineStr">
        <is>
          <t>US-046, EF-STK-08</t>
        </is>
      </c>
      <c r="C46" s="4" t="inlineStr">
        <is>
          <t>Le journal des mouvements est complet et en ajout seul ; l'écran de reconstitution arrive avec les rapports.</t>
        </is>
      </c>
    </row>
    <row r="47" ht="30.4" customHeight="1">
      <c r="A47" s="21" t="inlineStr">
        <is>
          <t>Contrôle nocturne de cohérence et alerte de seuil de stock</t>
        </is>
      </c>
      <c r="B47" s="22" t="inlineStr">
        <is>
          <t>EF-STK-09, EF-STK-11</t>
        </is>
      </c>
      <c r="C47" s="4" t="inlineStr">
        <is>
          <t>Les contraintes de base empêchent les incohérences ; la détection et l'alerte arrivent avec le module Anomalies.</t>
        </is>
      </c>
    </row>
    <row r="48" ht="18" customHeight="1">
      <c r="A48" s="21" t="inlineStr">
        <is>
          <t>Inversion d'une réception validée</t>
        </is>
      </c>
      <c r="B48" s="22" t="inlineStr">
        <is>
          <t>EF-REC-09</t>
        </is>
      </c>
      <c r="C48" s="4" t="inlineStr">
        <is>
          <t>À venir avec les ajustements ; en attendant, aucune annulation d'une réception validée n'est possible (RG-18).</t>
        </is>
      </c>
    </row>
    <row r="49" ht="30.4" customHeight="1">
      <c r="A49" s="21" t="inlineStr">
        <is>
          <t>Correction de numéro refusée si facturé</t>
        </is>
      </c>
      <c r="B49" s="22" t="inlineStr">
        <is>
          <t>US-013</t>
        </is>
      </c>
      <c r="C49" s="4" t="inlineStr">
        <is>
          <t>Point d'extension prêt côté châssis ; la règle s'active avec la facturation (lot 2).</t>
        </is>
      </c>
    </row>
    <row r="50" ht="30.4" customHeight="1">
      <c r="A50" s="21" t="inlineStr">
        <is>
          <t>Prix conservés par les commandes validées</t>
        </is>
      </c>
      <c r="B50" s="22" t="inlineStr">
        <is>
          <t>US-011</t>
        </is>
      </c>
      <c r="C50" s="4" t="inlineStr">
        <is>
          <t>L'historique des prix est livré ; le raccordement aux commandes clients arrive avec elles.</t>
        </is>
      </c>
    </row>
    <row r="51" ht="30.4" customHeight="1">
      <c r="A51" s="21" t="inlineStr">
        <is>
          <t>Envoi réel des e-mails</t>
        </is>
      </c>
      <c r="B51" s="22" t="inlineStr">
        <is>
          <t>EF-NOT-02, EF-ADM-01</t>
        </is>
      </c>
      <c r="C51" s="4" t="inlineStr">
        <is>
          <t>Le serveur SMTP du compte d'hébergement refuse l'envoi sortant (554 5.7.1) : problème de compte à régler par l'hébergeur. L'application ne plante pas, les notifications internes fonctionnent.</t>
        </is>
      </c>
    </row>
    <row r="52" ht="18" customHeight="1">
      <c r="A52" s="21" t="inlineStr">
        <is>
          <t>Import en masse des modèles et prix</t>
        </is>
      </c>
      <c r="B52" s="22" t="inlineStr">
        <is>
          <t>SRS 14.2</t>
        </is>
      </c>
      <c r="C52" s="4" t="inlineStr">
        <is>
          <t>Les modèles se saisissent à l'écran ; l'import Excel du catalogue n'est pas livré.</t>
        </is>
      </c>
    </row>
    <row r="53" ht="30.4" customHeight="1">
      <c r="A53" s="21" t="inlineStr">
        <is>
          <t>Écran du journal d'audit</t>
        </is>
      </c>
      <c r="B53" s="22" t="inlineStr">
        <is>
          <t>US-154, AUD</t>
        </is>
      </c>
      <c r="C53" s="4" t="inlineStr">
        <is>
          <t>Le journal est écrit, chaîné et protégé en base ; l'activité récente est visible au tableau de bord Administration. L'écran de consultation complet arrive au sprint S11.</t>
        </is>
      </c>
    </row>
    <row r="54" ht="30.4" customHeight="1">
      <c r="A54" s="21" t="inlineStr">
        <is>
          <t>Traitement des anomalies</t>
        </is>
      </c>
      <c r="B54" s="22" t="inlineStr">
        <is>
          <t>EF-ANO</t>
        </is>
      </c>
      <c r="C54" s="4" t="inlineStr">
        <is>
          <t>L'anomalie A12 est ouverte automatiquement ; la justification, la régularisation et la clôture viennent avec le module Anomalies (S10).</t>
        </is>
      </c>
    </row>
    <row r="56">
      <c r="A56" s="3" t="inlineStr">
        <is>
          <t>6. Environnement et organisation de la recette</t>
        </is>
      </c>
    </row>
    <row r="57" ht="30" customHeight="1">
      <c r="A57" s="4" t="inlineStr">
        <is>
          <t>Environnement : instance de recette dédiée (application, base PostgreSQL 16, serveur de messagerie de test), distincte de l'environnement de développement. Données de test à créer à partir de l'onglet « Comptes de test » et du jeu de l'onglet « Jeu de données import ».</t>
        </is>
      </c>
    </row>
    <row r="58" ht="16.5" customHeight="1">
      <c r="A58" s="4" t="inlineStr">
        <is>
          <t>Version à recetter : à consigner ici avant le premier test (branche, numéro de migration — V14 attendue —, date de déploiement) : ____________________</t>
        </is>
      </c>
    </row>
    <row r="59" ht="30" customHeight="1">
      <c r="A59" s="4" t="inlineStr">
        <is>
          <t>Déroulement conseillé : 1) ADM et CAT ; 2) APP ; 3) REC ; 4) STK ; 5) TRF ; 6) reprise du stock (import puis pointage) ; 7) scénarios de recette RV1-01 à RV1-07 ; 8) transverse (droits, performance, navigateurs).</t>
        </is>
      </c>
    </row>
    <row r="60" ht="30" customHeight="1">
      <c r="A60" s="4" t="inlineStr">
        <is>
          <t>Règle : un cas qui échoue donne lieu à une anomalie (onglet « Anomalies ») ; le cas est rejoué après correction et le résultat mis à jour. Les cas de profil « Compte des deux sites », de séparation des tâches ou de délai exigent la collaboration de deux testeurs.</t>
        </is>
      </c>
    </row>
    <row r="61" ht="30" customHeight="1">
      <c r="A61" s="4" t="inlineStr">
        <is>
          <t>Les tests automatiques de l'équipe (onglet « Tests automatiques ») couvrent déjà les règles de gestion et les droits par appel direct à l'API ; la recette manuelle vérifie les parcours, l'ergonomie et la conformité au métier.</t>
        </is>
      </c>
    </row>
  </sheetData>
  <mergeCells count="34">
    <mergeCell ref="A9:H9"/>
    <mergeCell ref="C47:H47"/>
    <mergeCell ref="C54:H54"/>
    <mergeCell ref="C50:H50"/>
    <mergeCell ref="A59:H59"/>
    <mergeCell ref="C44:H44"/>
    <mergeCell ref="C40:H40"/>
    <mergeCell ref="A60:H60"/>
    <mergeCell ref="C43:H43"/>
    <mergeCell ref="A61:H61"/>
    <mergeCell ref="A6:H6"/>
    <mergeCell ref="C51:H51"/>
    <mergeCell ref="C46:H46"/>
    <mergeCell ref="C36:H36"/>
    <mergeCell ref="A7:H7"/>
    <mergeCell ref="C52:H52"/>
    <mergeCell ref="C39:H39"/>
    <mergeCell ref="C48:H48"/>
    <mergeCell ref="A56:H56"/>
    <mergeCell ref="C38:H38"/>
    <mergeCell ref="A57:H57"/>
    <mergeCell ref="C37:H37"/>
    <mergeCell ref="C53:H53"/>
    <mergeCell ref="A42:H42"/>
    <mergeCell ref="C49:H49"/>
    <mergeCell ref="A5:H5"/>
    <mergeCell ref="C34:H34"/>
    <mergeCell ref="A32:H32"/>
    <mergeCell ref="C33:H33"/>
    <mergeCell ref="A4:H4"/>
    <mergeCell ref="A20:H20"/>
    <mergeCell ref="C45:H45"/>
    <mergeCell ref="C35:H35"/>
    <mergeCell ref="A58:H58"/>
  </mergeCells>
  <conditionalFormatting sqref="B34:B40">
    <cfRule type="cellIs" priority="1" operator="equal" dxfId="0">
      <formula>"OK"</formula>
    </cfRule>
    <cfRule type="cellIs" priority="2" operator="equal" dxfId="1">
      <formula>"À faire"</formula>
    </cfRule>
  </conditionalFormatting>
  <pageMargins left="0.75" right="0.75" top="1" bottom="1" header="0.5" footer="0.5"/>
  <pageSetup orientation="portrait" fitToHeight="0" fitToWidth="1"/>
</worksheet>
</file>

<file path=xl/worksheets/sheet2.xml><?xml version="1.0" encoding="utf-8"?>
<worksheet xmlns="http://schemas.openxmlformats.org/spreadsheetml/2006/main">
  <sheetPr>
    <tabColor rgb="001F3864"/>
    <outlinePr summaryBelow="1" summaryRight="1"/>
    <pageSetUpPr fitToPage="1"/>
  </sheetPr>
  <dimension ref="A1:Q92"/>
  <sheetViews>
    <sheetView showGridLines="0" workbookViewId="0">
      <pane xSplit="4" ySplit="4" topLeftCell="E5" activePane="bottomRight" state="frozen"/>
      <selection pane="topRight"/>
      <selection pane="bottomLeft"/>
      <selection pane="bottomRight" activeCell="A1" sqref="A1"/>
    </sheetView>
  </sheetViews>
  <sheetFormatPr baseColWidth="8" defaultRowHeight="15"/>
  <cols>
    <col width="12" customWidth="1" min="1" max="1"/>
    <col width="19" customWidth="1" min="2" max="2"/>
    <col width="20" customWidth="1" min="3" max="3"/>
    <col width="36" customWidth="1" min="4" max="4"/>
    <col width="22" customWidth="1" min="5" max="5"/>
    <col width="34" customWidth="1" min="6" max="6"/>
    <col width="58" customWidth="1" min="7" max="7"/>
    <col width="58" customWidth="1" min="8" max="8"/>
    <col width="17" customWidth="1" min="9" max="9"/>
    <col width="7" customWidth="1" min="10" max="10"/>
    <col width="14" customWidth="1" min="11" max="11"/>
    <col width="26" customWidth="1" min="12" max="12"/>
    <col width="14" customWidth="1" min="13" max="13"/>
    <col width="11" customWidth="1" min="14" max="14"/>
    <col width="14" customWidth="1" min="15" max="15"/>
    <col width="11" customWidth="1" min="16" max="16"/>
    <col width="34" customWidth="1" min="17" max="17"/>
  </cols>
  <sheetData>
    <row r="1" ht="26" customHeight="1">
      <c r="A1" s="1" t="inlineStr">
        <is>
          <t>Plan de test — Jalon V1 · Lot 1 « Stock et logistique »</t>
        </is>
      </c>
    </row>
    <row r="2">
      <c r="A2" s="2" t="inlineStr">
        <is>
          <t>Un cas par ligne. Remplir les colonnes Résultat, Date, Testeur, N° anomalie et Commentaire. Les listes déroulantes sont dans les colonnes Résultat et Prio.</t>
        </is>
      </c>
    </row>
    <row r="3">
      <c r="A3" s="23" t="inlineStr">
        <is>
          <t>Légende : Prio. M = Doit, S = Devrait, C = Pourrait (SRS 1.3). Couverture développement : Livré / Partiel (voir commentaire et onglet Synthèse) / À livrer (cas à rejouer plus tard).</t>
        </is>
      </c>
    </row>
    <row r="4" ht="32" customHeight="1">
      <c r="A4" s="24" t="inlineStr">
        <is>
          <t>N°</t>
        </is>
      </c>
      <c r="B4" s="24" t="inlineStr">
        <is>
          <t>Module</t>
        </is>
      </c>
      <c r="C4" s="24" t="inlineStr">
        <is>
          <t>Référence (story / exigence)</t>
        </is>
      </c>
      <c r="D4" s="24" t="inlineStr">
        <is>
          <t>Cas de test</t>
        </is>
      </c>
      <c r="E4" s="24" t="inlineStr">
        <is>
          <t>Profil testeur</t>
        </is>
      </c>
      <c r="F4" s="24" t="inlineStr">
        <is>
          <t>Pré-requis</t>
        </is>
      </c>
      <c r="G4" s="24" t="inlineStr">
        <is>
          <t>Étapes</t>
        </is>
      </c>
      <c r="H4" s="24" t="inlineStr">
        <is>
          <t>Résultat attendu</t>
        </is>
      </c>
      <c r="I4" s="24" t="inlineStr">
        <is>
          <t>Type</t>
        </is>
      </c>
      <c r="J4" s="24" t="inlineStr">
        <is>
          <t>Prio.</t>
        </is>
      </c>
      <c r="K4" s="24" t="inlineStr">
        <is>
          <t>Couverture développement</t>
        </is>
      </c>
      <c r="L4" s="24" t="inlineStr">
        <is>
          <t>Test automatique</t>
        </is>
      </c>
      <c r="M4" s="24" t="inlineStr">
        <is>
          <t>Résultat</t>
        </is>
      </c>
      <c r="N4" s="24" t="inlineStr">
        <is>
          <t>Date</t>
        </is>
      </c>
      <c r="O4" s="24" t="inlineStr">
        <is>
          <t>Testeur</t>
        </is>
      </c>
      <c r="P4" s="24" t="inlineStr">
        <is>
          <t>N° anomalie</t>
        </is>
      </c>
      <c r="Q4" s="24" t="inlineStr">
        <is>
          <t>Commentaire / preuve</t>
        </is>
      </c>
    </row>
    <row r="5" ht="96.39999999999999" customHeight="1">
      <c r="A5" s="25" t="inlineStr">
        <is>
          <t>TC-ADM-001</t>
        </is>
      </c>
      <c r="B5" s="26" t="inlineStr">
        <is>
          <t>ADM Administration</t>
        </is>
      </c>
      <c r="C5" s="27" t="inlineStr">
        <is>
          <t>US-001, EF-ADM-02</t>
        </is>
      </c>
      <c r="D5" s="27" t="inlineStr">
        <is>
          <t>Créer un utilisateur avec ses rôles et ses emplacements</t>
        </is>
      </c>
      <c r="E5" s="27" t="inlineStr">
        <is>
          <t>Administrateur</t>
        </is>
      </c>
      <c r="F5" s="27" t="inlineStr">
        <is>
          <t>Un magasin et une boutique existent. Un rôle « magasin » existe.</t>
        </is>
      </c>
      <c r="G5" s="27" t="inlineStr">
        <is>
          <t>1. Utilisateurs &gt; Nouvel utilisateur.
2. Saisir nom, prénom, e-mail, rôle « Magasin », emplacement « Magasin de Cotonou ».
3. Enregistrer.
4. Ouvrir le lien d'activation reçu, choisir un mot de passe conforme.
5. Se connecter avec le nouveau compte.</t>
        </is>
      </c>
      <c r="H5" s="27" t="inlineStr">
        <is>
          <t>Le compte est créé « En attente d'activation » et passe « Actif » après activation. L'utilisateur voit ses rôles et son seul emplacement sur l'accueil. La création figure au journal d'audit (auteur, date, valeurs).</t>
        </is>
      </c>
      <c r="I5" s="27" t="inlineStr">
        <is>
          <t>Fonctionnel</t>
        </is>
      </c>
      <c r="J5" s="28" t="inlineStr">
        <is>
          <t>M</t>
        </is>
      </c>
      <c r="K5" s="28" t="inlineStr">
        <is>
          <t>Livré</t>
        </is>
      </c>
      <c r="L5" s="27" t="inlineStr">
        <is>
          <t>AuthEtUtilisateursTest</t>
        </is>
      </c>
      <c r="M5" s="28" t="inlineStr">
        <is>
          <t>À tester</t>
        </is>
      </c>
      <c r="N5" s="28" t="n"/>
      <c r="O5" s="27" t="n"/>
      <c r="P5" s="27" t="n"/>
      <c r="Q5" s="27" t="n"/>
    </row>
    <row r="6" ht="70" customHeight="1">
      <c r="A6" s="25" t="inlineStr">
        <is>
          <t>TC-ADM-002</t>
        </is>
      </c>
      <c r="B6" s="26" t="inlineStr">
        <is>
          <t>ADM Administration</t>
        </is>
      </c>
      <c r="C6" s="27" t="inlineStr">
        <is>
          <t>US-001, EF-ADM-13</t>
        </is>
      </c>
      <c r="D6" s="27" t="inlineStr">
        <is>
          <t>Périmètre : un utilisateur ne voit que ses emplacements</t>
        </is>
      </c>
      <c r="E6" s="27" t="inlineStr">
        <is>
          <t>Magasinier (Cotonou)</t>
        </is>
      </c>
      <c r="F6" s="27" t="inlineStr">
        <is>
          <t>Un second magasin et un châssis disponible dans chacun.</t>
        </is>
      </c>
      <c r="G6" s="27" t="inlineStr">
        <is>
          <t>1. Se connecter en magasinier de Cotonou.
2. Stock &gt; Stock : consulter la synthèse.
3. Tenter d'ouvrir par l'adresse la fiche d'un châssis de l'autre magasin.
4. Idem pour une réception et un transfert de l'autre magasin.</t>
        </is>
      </c>
      <c r="H6" s="27" t="inlineStr">
        <is>
          <t>Seul le stock de Cotonou apparaît. La fiche, la réception et le transfert de l'autre magasin répondent « introuvable » (404), sans révéler leur existence.</t>
        </is>
      </c>
      <c r="I6" s="27" t="inlineStr">
        <is>
          <t>Droits et périmètre</t>
        </is>
      </c>
      <c r="J6" s="28" t="inlineStr">
        <is>
          <t>M</t>
        </is>
      </c>
      <c r="K6" s="28" t="inlineStr">
        <is>
          <t>Livré</t>
        </is>
      </c>
      <c r="L6" s="27" t="inlineStr">
        <is>
          <t>StockTest, ChassisTest, ReceptionsTest, TransfertsTest</t>
        </is>
      </c>
      <c r="M6" s="28" t="inlineStr">
        <is>
          <t>À tester</t>
        </is>
      </c>
      <c r="N6" s="28" t="n"/>
      <c r="O6" s="27" t="n"/>
      <c r="P6" s="27" t="n"/>
      <c r="Q6" s="27" t="n"/>
    </row>
    <row r="7" ht="56.8" customHeight="1">
      <c r="A7" s="25" t="inlineStr">
        <is>
          <t>TC-ADM-003</t>
        </is>
      </c>
      <c r="B7" s="26" t="inlineStr">
        <is>
          <t>ADM Administration</t>
        </is>
      </c>
      <c r="C7" s="27" t="inlineStr">
        <is>
          <t>US-001</t>
        </is>
      </c>
      <c r="D7" s="27" t="inlineStr">
        <is>
          <t>Lien d'activation expiré ou déjà utilisé</t>
        </is>
      </c>
      <c r="E7" s="27" t="inlineStr">
        <is>
          <t>Administrateur</t>
        </is>
      </c>
      <c r="F7" s="27" t="inlineStr">
        <is>
          <t>Un utilisateur en attente d'activation.</t>
        </is>
      </c>
      <c r="G7" s="27" t="inlineStr">
        <is>
          <t>1. Utiliser le lien d'activation une première fois.
2. Réutiliser le même lien.
3. Pour un lien expiré : Utilisateurs &gt; Renvoyer l'activation, puis utiliser l'ancien lien.</t>
        </is>
      </c>
      <c r="H7" s="27" t="inlineStr">
        <is>
          <t>Le second usage est refusé avec un message clair. L'ancien lien est invalidé par le nouveau. Le renvoi est tracé au journal.</t>
        </is>
      </c>
      <c r="I7" s="27" t="inlineStr">
        <is>
          <t>Fonctionnel</t>
        </is>
      </c>
      <c r="J7" s="28" t="inlineStr">
        <is>
          <t>M</t>
        </is>
      </c>
      <c r="K7" s="28" t="inlineStr">
        <is>
          <t>Livré</t>
        </is>
      </c>
      <c r="L7" s="27" t="inlineStr">
        <is>
          <t>AuthEtUtilisateursTest</t>
        </is>
      </c>
      <c r="M7" s="28" t="inlineStr">
        <is>
          <t>À tester</t>
        </is>
      </c>
      <c r="N7" s="28" t="n"/>
      <c r="O7" s="27" t="n"/>
      <c r="P7" s="27" t="n"/>
      <c r="Q7" s="27" t="n"/>
    </row>
    <row r="8" ht="56.8" customHeight="1">
      <c r="A8" s="25" t="inlineStr">
        <is>
          <t>TC-ADM-004</t>
        </is>
      </c>
      <c r="B8" s="26" t="inlineStr">
        <is>
          <t>ADM Administration</t>
        </is>
      </c>
      <c r="C8" s="27" t="inlineStr">
        <is>
          <t>US-002, EF-ADM-10</t>
        </is>
      </c>
      <c r="D8" s="27" t="inlineStr">
        <is>
          <t>Verrouillage du compte après cinq échecs de connexion</t>
        </is>
      </c>
      <c r="E8" s="27" t="inlineStr">
        <is>
          <t>Tout profil</t>
        </is>
      </c>
      <c r="F8" s="27" t="inlineStr">
        <is>
          <t>Un compte actif de test (sans second facteur).</t>
        </is>
      </c>
      <c r="G8" s="27" t="inlineStr">
        <is>
          <t>1. Saisir 5 fois un mauvais mot de passe.
2. Saisir ensuite le bon mot de passe.
3. En administrateur, constater l'état du compte puis le déverrouiller.</t>
        </is>
      </c>
      <c r="H8" s="27" t="inlineStr">
        <is>
          <t>Après le 5e échec le compte est verrouillé (message identique à un échec simple, sans indice). Le bon mot de passe est refusé tant que le compte est verrouillé. Les échecs et le verrouillage figurent au journal de sécurité.</t>
        </is>
      </c>
      <c r="I8" s="27" t="inlineStr">
        <is>
          <t>Fonctionnel</t>
        </is>
      </c>
      <c r="J8" s="28" t="inlineStr">
        <is>
          <t>M</t>
        </is>
      </c>
      <c r="K8" s="28" t="inlineStr">
        <is>
          <t>Livré</t>
        </is>
      </c>
      <c r="L8" s="27" t="inlineStr">
        <is>
          <t>AuthEtUtilisateursTest</t>
        </is>
      </c>
      <c r="M8" s="28" t="inlineStr">
        <is>
          <t>À tester</t>
        </is>
      </c>
      <c r="N8" s="28" t="n"/>
      <c r="O8" s="27" t="n"/>
      <c r="P8" s="27" t="n"/>
      <c r="Q8" s="27" t="n"/>
    </row>
    <row r="9" ht="96.39999999999999" customHeight="1">
      <c r="A9" s="25" t="inlineStr">
        <is>
          <t>TC-ADM-005</t>
        </is>
      </c>
      <c r="B9" s="26" t="inlineStr">
        <is>
          <t>ADM Administration</t>
        </is>
      </c>
      <c r="C9" s="27" t="inlineStr">
        <is>
          <t>US-002, EF-ADM-10</t>
        </is>
      </c>
      <c r="D9" s="27" t="inlineStr">
        <is>
          <t>Second facteur obligatoire pour Administrateur, Direction et Comptabilité</t>
        </is>
      </c>
      <c r="E9" s="27" t="inlineStr">
        <is>
          <t>Direction</t>
        </is>
      </c>
      <c r="F9" s="27" t="inlineStr">
        <is>
          <t>Un compte Direction sans second facteur activé ; une application d'authentification sur téléphone.</t>
        </is>
      </c>
      <c r="G9" s="27" t="inlineStr">
        <is>
          <t>1. Se connecter avec e-mail et mot de passe.
2. Scanner le QR code (ou saisir la clé) puis saisir le code à 6 chiffres.
3. Noter les codes de secours affichés.
4. Se déconnecter puis se reconnecter : saisir le code TOTP.
5. Tenter un code erroné, puis un code de secours (une seule fois).</t>
        </is>
      </c>
      <c r="H9" s="27" t="inlineStr">
        <is>
          <t>Sans enrôlement, l'accès est impossible. Le code correct ouvre la session, le code erroné est refusé, un code de secours ne marche qu'une fois. Les secrets sont stockés chiffrés.</t>
        </is>
      </c>
      <c r="I9" s="27" t="inlineStr">
        <is>
          <t>Fonctionnel</t>
        </is>
      </c>
      <c r="J9" s="28" t="inlineStr">
        <is>
          <t>M</t>
        </is>
      </c>
      <c r="K9" s="28" t="inlineStr">
        <is>
          <t>Livré</t>
        </is>
      </c>
      <c r="L9" s="27" t="inlineStr">
        <is>
          <t>DoubleAuthentificationTest, TotpTest</t>
        </is>
      </c>
      <c r="M9" s="28" t="inlineStr">
        <is>
          <t>À tester</t>
        </is>
      </c>
      <c r="N9" s="28" t="n"/>
      <c r="O9" s="27" t="n"/>
      <c r="P9" s="27" t="n"/>
      <c r="Q9" s="27" t="n"/>
    </row>
    <row r="10" ht="56.8" customHeight="1">
      <c r="A10" s="25" t="inlineStr">
        <is>
          <t>TC-ADM-006</t>
        </is>
      </c>
      <c r="B10" s="26" t="inlineStr">
        <is>
          <t>ADM Administration</t>
        </is>
      </c>
      <c r="C10" s="27" t="inlineStr">
        <is>
          <t>US-002</t>
        </is>
      </c>
      <c r="D10" s="27" t="inlineStr">
        <is>
          <t>Réinitialisation du mot de passe</t>
        </is>
      </c>
      <c r="E10" s="27" t="inlineStr">
        <is>
          <t>Tout profil</t>
        </is>
      </c>
      <c r="F10" s="27" t="inlineStr">
        <is>
          <t>Un compte actif.</t>
        </is>
      </c>
      <c r="G10" s="27" t="inlineStr">
        <is>
          <t>1. « Mot de passe oublié » : saisir l'e-mail.
2. Utiliser le lien reçu pour définir un nouveau mot de passe.
3. Se reconnecter avec l'ancien, puis le nouveau.
4. Demander la réinitialisation d'une adresse inconnue.</t>
        </is>
      </c>
      <c r="H10" s="27" t="inlineStr">
        <is>
          <t>L'ancien mot de passe est refusé, le nouveau accepté. L'adresse inconnue reçoit la même réponse neutre. Les sessions ouvertes sont fermées.</t>
        </is>
      </c>
      <c r="I10" s="27" t="inlineStr">
        <is>
          <t>Fonctionnel</t>
        </is>
      </c>
      <c r="J10" s="28" t="inlineStr">
        <is>
          <t>M</t>
        </is>
      </c>
      <c r="K10" s="28" t="inlineStr">
        <is>
          <t>Livré</t>
        </is>
      </c>
      <c r="L10" s="27" t="inlineStr">
        <is>
          <t>AuthEtUtilisateursTest</t>
        </is>
      </c>
      <c r="M10" s="28" t="inlineStr">
        <is>
          <t>À tester</t>
        </is>
      </c>
      <c r="N10" s="28" t="n"/>
      <c r="O10" s="27" t="n"/>
      <c r="P10" s="27" t="n"/>
      <c r="Q10" s="27" t="n"/>
    </row>
    <row r="11" ht="96.39999999999999" customHeight="1">
      <c r="A11" s="25" t="inlineStr">
        <is>
          <t>TC-ADM-007</t>
        </is>
      </c>
      <c r="B11" s="26" t="inlineStr">
        <is>
          <t>ADM Administration</t>
        </is>
      </c>
      <c r="C11" s="27" t="inlineStr">
        <is>
          <t>US-003, EF-ADM-03</t>
        </is>
      </c>
      <c r="D11" s="27" t="inlineStr">
        <is>
          <t>Régler les permissions d'un rôle action par action</t>
        </is>
      </c>
      <c r="E11" s="27" t="inlineStr">
        <is>
          <t>Administrateur</t>
        </is>
      </c>
      <c r="F11" s="27" t="inlineStr">
        <is>
          <t>Un rôle personnalisé et un utilisateur qui le porte, connecté.</t>
        </is>
      </c>
      <c r="G11" s="27" t="inlineStr">
        <is>
          <t>1. Utilisateurs &gt; Rôles : retirer une permission du rôle (par exemple « Transferts : valider »).
2. Enregistrer.
3. Côté utilisateur : constater la fermeture de session, se reconnecter.
4. Tenter l'action retirée par l'écran, puis par un appel direct à l'API (outil de test HTTP).</t>
        </is>
      </c>
      <c r="H11" s="27" t="inlineStr">
        <is>
          <t>Le bouton disparaît, l'appel direct à l'API répond 403. La modification est tracée avec les droits avant et après. La Direction est notifiée (cf. TC-ADM-015).</t>
        </is>
      </c>
      <c r="I11" s="27" t="inlineStr">
        <is>
          <t>Droits et périmètre</t>
        </is>
      </c>
      <c r="J11" s="28" t="inlineStr">
        <is>
          <t>M</t>
        </is>
      </c>
      <c r="K11" s="28" t="inlineStr">
        <is>
          <t>Livré</t>
        </is>
      </c>
      <c r="L11" s="27" t="inlineStr">
        <is>
          <t>RolesEtPermissionsTest</t>
        </is>
      </c>
      <c r="M11" s="28" t="inlineStr">
        <is>
          <t>À tester</t>
        </is>
      </c>
      <c r="N11" s="28" t="n"/>
      <c r="O11" s="27" t="n"/>
      <c r="P11" s="27" t="n"/>
      <c r="Q11" s="27" t="n"/>
    </row>
    <row r="12" ht="70" customHeight="1">
      <c r="A12" s="25" t="inlineStr">
        <is>
          <t>TC-ADM-008</t>
        </is>
      </c>
      <c r="B12" s="26" t="inlineStr">
        <is>
          <t>ADM Administration</t>
        </is>
      </c>
      <c r="C12" s="27" t="inlineStr">
        <is>
          <t>EF-ADM-03, SRS 9.1</t>
        </is>
      </c>
      <c r="D12" s="27" t="inlineStr">
        <is>
          <t>Matrice de départ des rôles conforme au SRS</t>
        </is>
      </c>
      <c r="E12" s="27" t="inlineStr">
        <is>
          <t>Administrateur</t>
        </is>
      </c>
      <c r="F12" s="27" t="inlineStr">
        <is>
          <t>Base neuve (rôles livrés par défaut).</t>
        </is>
      </c>
      <c r="G12" s="27" t="inlineStr">
        <is>
          <t>1. Ouvrir chaque rôle livré (Administrateur, Direction, Responsable commercial, Commercial, Comptabilité/Caisse, Magasin, Contrôleur, Boutique).
2. Comparer ses permissions à la matrice de la section 9.1 du SRS (L, C, V, CV, T).</t>
        </is>
      </c>
      <c r="H12" s="27" t="inlineStr">
        <is>
          <t>Chaque rôle porte exactement les droits de la matrice. Les permissions spéciales (prix d'achat, stock modifier, stock bloquer, importer le stock initial, retour arrière commande…) sont attribuées aux rôles prévus.</t>
        </is>
      </c>
      <c r="I12" s="27" t="inlineStr">
        <is>
          <t>Droits et périmètre</t>
        </is>
      </c>
      <c r="J12" s="28" t="inlineStr">
        <is>
          <t>M</t>
        </is>
      </c>
      <c r="K12" s="28" t="inlineStr">
        <is>
          <t>Livré</t>
        </is>
      </c>
      <c r="L12" s="27" t="inlineStr">
        <is>
          <t>RolesEtPermissionsTest</t>
        </is>
      </c>
      <c r="M12" s="28" t="inlineStr">
        <is>
          <t>À tester</t>
        </is>
      </c>
      <c r="N12" s="28" t="n"/>
      <c r="O12" s="27" t="n"/>
      <c r="P12" s="27" t="n"/>
      <c r="Q12" s="27" t="n"/>
    </row>
    <row r="13" ht="70" customHeight="1">
      <c r="A13" s="25" t="inlineStr">
        <is>
          <t>TC-ADM-009</t>
        </is>
      </c>
      <c r="B13" s="26" t="inlineStr">
        <is>
          <t>ADM Administration</t>
        </is>
      </c>
      <c r="C13" s="27" t="inlineStr">
        <is>
          <t>US-004, EF-ADM-08</t>
        </is>
      </c>
      <c r="D13" s="27" t="inlineStr">
        <is>
          <t>Créer magasins et boutiques, fixer le mode de chaque boutique</t>
        </is>
      </c>
      <c r="E13" s="27" t="inlineStr">
        <is>
          <t>Administrateur</t>
        </is>
      </c>
      <c r="F13" s="27" t="inlineStr">
        <is>
          <t>Un magasin existe.</t>
        </is>
      </c>
      <c r="G13" s="27" t="inlineStr">
        <is>
          <t>1. Emplacements &gt; Nouveau : créer une boutique en mode A.
2. Créer une boutique en mode B sans magasin de rattachement.
3. Créer une boutique en mode B avec rattachement.
4. Vérifier que l'emplacement de transit interne existe et n'est pas modifiable.</t>
        </is>
      </c>
      <c r="H13" s="27" t="inlineStr">
        <is>
          <t>Le mode A est accepté. Le mode B sans rattachement est refusé. Le transit interne est géré par le système (ni modifiable, ni désactivable).</t>
        </is>
      </c>
      <c r="I13" s="27" t="inlineStr">
        <is>
          <t>Fonctionnel</t>
        </is>
      </c>
      <c r="J13" s="28" t="inlineStr">
        <is>
          <t>M</t>
        </is>
      </c>
      <c r="K13" s="28" t="inlineStr">
        <is>
          <t>Livré</t>
        </is>
      </c>
      <c r="L13" s="27" t="inlineStr">
        <is>
          <t>EmplacementsTest</t>
        </is>
      </c>
      <c r="M13" s="28" t="inlineStr">
        <is>
          <t>À tester</t>
        </is>
      </c>
      <c r="N13" s="28" t="n"/>
      <c r="O13" s="27" t="n"/>
      <c r="P13" s="27" t="n"/>
      <c r="Q13" s="27" t="n"/>
    </row>
    <row r="14" ht="56.8" customHeight="1">
      <c r="A14" s="25" t="inlineStr">
        <is>
          <t>TC-ADM-010</t>
        </is>
      </c>
      <c r="B14" s="26" t="inlineStr">
        <is>
          <t>ADM Administration</t>
        </is>
      </c>
      <c r="C14" s="27" t="inlineStr">
        <is>
          <t>US-004, EF-ADM-08, EF-ADM-09</t>
        </is>
      </c>
      <c r="D14" s="27" t="inlineStr">
        <is>
          <t>Changement de mode et désactivation refusés s'il reste du stock</t>
        </is>
      </c>
      <c r="E14" s="27" t="inlineStr">
        <is>
          <t>Administrateur</t>
        </is>
      </c>
      <c r="F14" s="27" t="inlineStr">
        <is>
          <t>Une boutique avec au moins une moto disponible.</t>
        </is>
      </c>
      <c r="G14" s="27" t="inlineStr">
        <is>
          <t>1. Tenter de passer la boutique du mode A au mode B.
2. Tenter de la désactiver.
3. Faire livrer ou transférer toutes ses motos, puis recommencer.</t>
        </is>
      </c>
      <c r="H14" s="27" t="inlineStr">
        <is>
          <t>Avec du stock (ou un transfert/une réception en cours), les deux opérations sont refusées avec un motif. Sans stock, elles passent.</t>
        </is>
      </c>
      <c r="I14" s="27" t="inlineStr">
        <is>
          <t>Règle de gestion</t>
        </is>
      </c>
      <c r="J14" s="28" t="inlineStr">
        <is>
          <t>M</t>
        </is>
      </c>
      <c r="K14" s="28" t="inlineStr">
        <is>
          <t>Livré</t>
        </is>
      </c>
      <c r="L14" s="27" t="inlineStr">
        <is>
          <t>EmplacementsTest, StockTest</t>
        </is>
      </c>
      <c r="M14" s="28" t="inlineStr">
        <is>
          <t>À tester</t>
        </is>
      </c>
      <c r="N14" s="28" t="n"/>
      <c r="O14" s="27" t="n"/>
      <c r="P14" s="27" t="n"/>
      <c r="Q14" s="27" t="n"/>
    </row>
    <row r="15" ht="70" customHeight="1">
      <c r="A15" s="25" t="inlineStr">
        <is>
          <t>TC-ADM-011</t>
        </is>
      </c>
      <c r="B15" s="26" t="inlineStr">
        <is>
          <t>ADM Administration</t>
        </is>
      </c>
      <c r="C15" s="27" t="inlineStr">
        <is>
          <t>US-005, EF-ADM-05, EF-ADM-06</t>
        </is>
      </c>
      <c r="D15" s="27" t="inlineStr">
        <is>
          <t>Paramétrer seuils et délais de contrôle avec date d'effet</t>
        </is>
      </c>
      <c r="E15" s="27" t="inlineStr">
        <is>
          <t>Administrateur</t>
        </is>
      </c>
      <c r="F15" s="27" t="inlineStr">
        <is>
          <t>Aucun paramètre fiscal ni de contrôle renseigné.</t>
        </is>
      </c>
      <c r="G15" s="27" t="inlineStr">
        <is>
          <t>1. Paramètres &gt; Paramètres de contrôle : renseigner « Délai de réception d'un transfert » = 5 jours, date d'effet aujourd'hui.
2. Programmer une autre valeur à une date future.
3. Consulter l'historique du paramètre.
4. Saisir une valeur hors bornes ou non numérique.</t>
        </is>
      </c>
      <c r="H15" s="27" t="inlineStr">
        <is>
          <t>La valeur s'applique aux contrôles suivants. La future valeur n'est pas appliquée avant sa date. L'historique conserve ancienne et nouvelle valeur, auteur et date. Les valeurs invalides sont refusées. Tant qu'un seuil n'est pas fixé, le contrôle correspondant n'est pas appliqué.</t>
        </is>
      </c>
      <c r="I15" s="27" t="inlineStr">
        <is>
          <t>Fonctionnel</t>
        </is>
      </c>
      <c r="J15" s="28" t="inlineStr">
        <is>
          <t>M</t>
        </is>
      </c>
      <c r="K15" s="28" t="inlineStr">
        <is>
          <t>Livré</t>
        </is>
      </c>
      <c r="L15" s="27" t="inlineStr">
        <is>
          <t>ReferentielsEtParametresTest</t>
        </is>
      </c>
      <c r="M15" s="28" t="inlineStr">
        <is>
          <t>À tester</t>
        </is>
      </c>
      <c r="N15" s="28" t="n"/>
      <c r="O15" s="27" t="n"/>
      <c r="P15" s="27" t="n"/>
      <c r="Q15" s="27" t="n"/>
    </row>
    <row r="16" ht="70" customHeight="1">
      <c r="A16" s="25" t="inlineStr">
        <is>
          <t>TC-ADM-012</t>
        </is>
      </c>
      <c r="B16" s="26" t="inlineStr">
        <is>
          <t>ADM Administration</t>
        </is>
      </c>
      <c r="C16" s="27" t="inlineStr">
        <is>
          <t>EF-REC-05, EF-TRF-05, RG-19</t>
        </is>
      </c>
      <c r="D16" s="27" t="inlineStr">
        <is>
          <t>Paramètres de séparation des tâches (Oui par défaut)</t>
        </is>
      </c>
      <c r="E16" s="27" t="inlineStr">
        <is>
          <t>Administrateur</t>
        </is>
      </c>
      <c r="F16" s="27" t="inlineStr">
        <is>
          <t>Paramètres de contrôle affichés.</t>
        </is>
      </c>
      <c r="G16" s="27" t="inlineStr">
        <is>
          <t>1. Vérifier « Réception validée par un autre utilisateur » et « Transfert réceptionné par un autre utilisateur » : valeur par défaut Oui, sans « À renseigner ».
2. Passer l'un à Non, rejouer TC-REC-006 ou TC-TRF-005, puis remettre Oui.</t>
        </is>
      </c>
      <c r="H16" s="27" t="inlineStr">
        <is>
          <t>Le défaut est Oui et ne compte pas dans l'avancement du paramétrage. À Non, la même personne peut valider ; la modification est historisée.</t>
        </is>
      </c>
      <c r="I16" s="27" t="inlineStr">
        <is>
          <t>Règle de gestion</t>
        </is>
      </c>
      <c r="J16" s="28" t="inlineStr">
        <is>
          <t>M</t>
        </is>
      </c>
      <c r="K16" s="28" t="inlineStr">
        <is>
          <t>Livré</t>
        </is>
      </c>
      <c r="L16" s="27" t="inlineStr">
        <is>
          <t>ReceptionsTest, TransfertsTest</t>
        </is>
      </c>
      <c r="M16" s="28" t="inlineStr">
        <is>
          <t>À tester</t>
        </is>
      </c>
      <c r="N16" s="28" t="n"/>
      <c r="O16" s="27" t="n"/>
      <c r="P16" s="27" t="n"/>
      <c r="Q16" s="27" t="n"/>
    </row>
    <row r="17" ht="70" customHeight="1">
      <c r="A17" s="25" t="inlineStr">
        <is>
          <t>TC-ADM-013</t>
        </is>
      </c>
      <c r="B17" s="26" t="inlineStr">
        <is>
          <t>ADM Administration</t>
        </is>
      </c>
      <c r="C17" s="27" t="inlineStr">
        <is>
          <t>EF-ADM-04</t>
        </is>
      </c>
      <c r="D17" s="27" t="inlineStr">
        <is>
          <t>Référentiels : fournisseurs, banques, modes de paiement, catégories, centres de coût</t>
        </is>
      </c>
      <c r="E17" s="27" t="inlineStr">
        <is>
          <t>Administrateur</t>
        </is>
      </c>
      <c r="F17" s="27" t="inlineStr">
        <is>
          <t>Aucun fournisseur.</t>
        </is>
      </c>
      <c r="G17" s="27" t="inlineStr">
        <is>
          <t>1. Créer un fournisseur (raison sociale, pays, devise, contacts).
2. Le modifier, puis le désactiver.
3. Tenter de créer un doublon (même raison sociale).
4. Tenter de le supprimer (aucun bouton ni appel API).</t>
        </is>
      </c>
      <c r="H17" s="27" t="inlineStr">
        <is>
          <t>La désactivation remplace la suppression. Le doublon est refusé. Un fournisseur désactivé n'est plus proposé aux nouvelles commandes mais reste lisible sur les anciennes.</t>
        </is>
      </c>
      <c r="I17" s="27" t="inlineStr">
        <is>
          <t>Fonctionnel</t>
        </is>
      </c>
      <c r="J17" s="28" t="inlineStr">
        <is>
          <t>M</t>
        </is>
      </c>
      <c r="K17" s="28" t="inlineStr">
        <is>
          <t>Livré</t>
        </is>
      </c>
      <c r="L17" s="27" t="inlineStr">
        <is>
          <t>ReferentielsEtParametresTest</t>
        </is>
      </c>
      <c r="M17" s="28" t="inlineStr">
        <is>
          <t>À tester</t>
        </is>
      </c>
      <c r="N17" s="28" t="n"/>
      <c r="O17" s="27" t="n"/>
      <c r="P17" s="27" t="n"/>
      <c r="Q17" s="27" t="n"/>
    </row>
    <row r="18" ht="43.59999999999999" customHeight="1">
      <c r="A18" s="25" t="inlineStr">
        <is>
          <t>TC-ADM-014</t>
        </is>
      </c>
      <c r="B18" s="26" t="inlineStr">
        <is>
          <t>ADM Administration</t>
        </is>
      </c>
      <c r="C18" s="27" t="inlineStr">
        <is>
          <t>EF-ADM-07</t>
        </is>
      </c>
      <c r="D18" s="27" t="inlineStr">
        <is>
          <t>Numérotation automatique des documents</t>
        </is>
      </c>
      <c r="E18" s="27" t="inlineStr">
        <is>
          <t>Magasinier</t>
        </is>
      </c>
      <c r="F18" s="27" t="inlineStr">
        <is>
          <t>Un magasin de code connu.</t>
        </is>
      </c>
      <c r="G18" s="27" t="inlineStr">
        <is>
          <t>1. Créer un transfert, une réception, une commande fournisseur.
2. Relever leurs numéros.
3. Créer un second document de chaque type.</t>
        </is>
      </c>
      <c r="H18" s="27" t="inlineStr">
        <is>
          <t>Format préfixe-emplacement-année-séquence (par exemple TR-MAG-COT-2026-000001, BR-…, PO-2026-…). Les séquences sont continues, sans doublon, y compris sous créations simultanées.</t>
        </is>
      </c>
      <c r="I18" s="27" t="inlineStr">
        <is>
          <t>Règle de gestion</t>
        </is>
      </c>
      <c r="J18" s="28" t="inlineStr">
        <is>
          <t>M</t>
        </is>
      </c>
      <c r="K18" s="28" t="inlineStr">
        <is>
          <t>Livré</t>
        </is>
      </c>
      <c r="L18" s="27" t="inlineStr">
        <is>
          <t>NumerotationServiceTest</t>
        </is>
      </c>
      <c r="M18" s="28" t="inlineStr">
        <is>
          <t>À tester</t>
        </is>
      </c>
      <c r="N18" s="28" t="n"/>
      <c r="O18" s="27" t="n"/>
      <c r="P18" s="27" t="n"/>
      <c r="Q18" s="27" t="n"/>
    </row>
    <row r="19" ht="43.59999999999999" customHeight="1">
      <c r="A19" s="25" t="inlineStr">
        <is>
          <t>TC-ADM-015</t>
        </is>
      </c>
      <c r="B19" s="26" t="inlineStr">
        <is>
          <t>ADM Administration</t>
        </is>
      </c>
      <c r="C19" s="27" t="inlineStr">
        <is>
          <t>US-007</t>
        </is>
      </c>
      <c r="D19" s="27" t="inlineStr">
        <is>
          <t>La Direction est notifiée de tout changement de droits</t>
        </is>
      </c>
      <c r="E19" s="27" t="inlineStr">
        <is>
          <t>Administrateur puis Direction</t>
        </is>
      </c>
      <c r="F19" s="27" t="inlineStr">
        <is>
          <t>Un compte Direction actif et connecté dans un autre navigateur.</t>
        </is>
      </c>
      <c r="G19" s="27" t="inlineStr">
        <is>
          <t>1. En administrateur, modifier les droits d'un rôle, puis les rôles d'un utilisateur.
2. En Direction, ouvrir la cloche de notifications.</t>
        </is>
      </c>
      <c r="H19" s="27" t="inlineStr">
        <is>
          <t>Une notification par changement indique l'utilisateur ou le rôle, les droits ajoutés et retirés, et l'auteur. Un clic ouvre l'écran concerné.</t>
        </is>
      </c>
      <c r="I19" s="27" t="inlineStr">
        <is>
          <t>Fonctionnel</t>
        </is>
      </c>
      <c r="J19" s="28" t="inlineStr">
        <is>
          <t>M</t>
        </is>
      </c>
      <c r="K19" s="28" t="inlineStr">
        <is>
          <t>Livré</t>
        </is>
      </c>
      <c r="L19" s="27" t="inlineStr">
        <is>
          <t>NotificationsTest</t>
        </is>
      </c>
      <c r="M19" s="28" t="inlineStr">
        <is>
          <t>À tester</t>
        </is>
      </c>
      <c r="N19" s="28" t="n"/>
      <c r="O19" s="27" t="n"/>
      <c r="P19" s="27" t="n"/>
      <c r="Q19" s="27" t="n"/>
    </row>
    <row r="20" ht="70" customHeight="1">
      <c r="A20" s="25" t="inlineStr">
        <is>
          <t>TC-ADM-016</t>
        </is>
      </c>
      <c r="B20" s="26" t="inlineStr">
        <is>
          <t>ADM Administration</t>
        </is>
      </c>
      <c r="C20" s="27" t="inlineStr">
        <is>
          <t>US-008, EF-NOT-01</t>
        </is>
      </c>
      <c r="D20" s="27" t="inlineStr">
        <is>
          <t>Notifications de tâches en attente, lecture et lien</t>
        </is>
      </c>
      <c r="E20" s="27" t="inlineStr">
        <is>
          <t>Magasinier</t>
        </is>
      </c>
      <c r="F20" s="27" t="inlineStr">
        <is>
          <t>Un arrivage dont le dédouanement vient d'être terminé.</t>
        </is>
      </c>
      <c r="G20" s="27" t="inlineStr">
        <is>
          <t>1. Se connecter en magasinier.
2. Cliquer sur la cloche : la notification « Arrivage à réceptionner » est présente.
3. Cliquer dessus.
4. Marquer comme lue, puis « Tout marquer comme lu ».</t>
        </is>
      </c>
      <c r="H20" s="27" t="inlineStr">
        <is>
          <t>Le compteur de la cloche suit les notifications non lues. Le clic ouvre l'écran de traitement (réception). Une notification n'existe que si l'opération est validée.</t>
        </is>
      </c>
      <c r="I20" s="27" t="inlineStr">
        <is>
          <t>Fonctionnel</t>
        </is>
      </c>
      <c r="J20" s="28" t="inlineStr">
        <is>
          <t>M</t>
        </is>
      </c>
      <c r="K20" s="28" t="inlineStr">
        <is>
          <t>Livré</t>
        </is>
      </c>
      <c r="L20" s="27" t="inlineStr">
        <is>
          <t>NotificationsTest</t>
        </is>
      </c>
      <c r="M20" s="28" t="inlineStr">
        <is>
          <t>À tester</t>
        </is>
      </c>
      <c r="N20" s="28" t="n"/>
      <c r="O20" s="27" t="n"/>
      <c r="P20" s="27" t="n"/>
      <c r="Q20" s="27" t="n"/>
    </row>
    <row r="21" ht="43.59999999999999" customHeight="1">
      <c r="A21" s="25" t="inlineStr">
        <is>
          <t>TC-ADM-017</t>
        </is>
      </c>
      <c r="B21" s="26" t="inlineStr">
        <is>
          <t>ADM Administration</t>
        </is>
      </c>
      <c r="C21" s="27" t="inlineStr">
        <is>
          <t>EF-NOT-02</t>
        </is>
      </c>
      <c r="D21" s="27" t="inlineStr">
        <is>
          <t>Notification par e-mail</t>
        </is>
      </c>
      <c r="E21" s="27" t="inlineStr">
        <is>
          <t>Tout profil</t>
        </is>
      </c>
      <c r="F21" s="27" t="inlineStr">
        <is>
          <t>Serveur SMTP de recette opérationnel (voir limites connues).</t>
        </is>
      </c>
      <c r="G21" s="27" t="inlineStr">
        <is>
          <t>1. Déclencher une notification (création d'utilisateur, arrivage à réceptionner).
2. Vérifier la réception de l'e-mail : expéditeur, objet, lien.</t>
        </is>
      </c>
      <c r="H21" s="27" t="inlineStr">
        <is>
          <t>L'e-mail part après validation de l'opération et ne la fait jamais échouer en cas de panne SMTP. Le lien ouvre le bon écran.</t>
        </is>
      </c>
      <c r="I21" s="27" t="inlineStr">
        <is>
          <t>Fonctionnel</t>
        </is>
      </c>
      <c r="J21" s="28" t="inlineStr">
        <is>
          <t>S</t>
        </is>
      </c>
      <c r="K21" s="28" t="inlineStr">
        <is>
          <t>Partiel</t>
        </is>
      </c>
      <c r="L21" s="27" t="inlineStr">
        <is>
          <t>EnvoiLienCompteMessagerieTest, NotificationsParEmailTest</t>
        </is>
      </c>
      <c r="M21" s="28" t="inlineStr">
        <is>
          <t>À tester</t>
        </is>
      </c>
      <c r="N21" s="28" t="n"/>
      <c r="O21" s="27" t="n"/>
      <c r="P21" s="27" t="n"/>
      <c r="Q21" s="27" t="n"/>
    </row>
    <row r="22" ht="56.8" customHeight="1">
      <c r="A22" s="25" t="inlineStr">
        <is>
          <t>TC-ADM-018</t>
        </is>
      </c>
      <c r="B22" s="26" t="inlineStr">
        <is>
          <t>ADM Administration</t>
        </is>
      </c>
      <c r="C22" s="27" t="inlineStr">
        <is>
          <t>TDB, EF-STK-10</t>
        </is>
      </c>
      <c r="D22" s="27" t="inlineStr">
        <is>
          <t>Tableaux de bord par domaine et droits d'accès</t>
        </is>
      </c>
      <c r="E22" s="27" t="inlineStr">
        <is>
          <t>Direction, Magasinier, Commercial, Administrateur</t>
        </is>
      </c>
      <c r="F22" s="27" t="inlineStr">
        <is>
          <t>Un compte par profil.</t>
        </is>
      </c>
      <c r="G22" s="27" t="inlineStr">
        <is>
          <t>1. Se connecter successivement avec chaque profil.
2. Observer le menu « Tableau de bord » et la page d'arrivée.
3. Tenter d'ouvrir par l'adresse un tableau de bord non autorisé et l'API correspondante.</t>
        </is>
      </c>
      <c r="H22" s="27" t="inlineStr">
        <is>
          <t>Management, Commercial et Administration sont trois pages séparées, chacune visible selon son droit. Un droit absent renvoie à une page autorisée (ou à l'accueil) et l'API répond 403. Les chiffres suivent le périmètre de la personne.</t>
        </is>
      </c>
      <c r="I22" s="27" t="inlineStr">
        <is>
          <t>Droits et périmètre</t>
        </is>
      </c>
      <c r="J22" s="28" t="inlineStr">
        <is>
          <t>M</t>
        </is>
      </c>
      <c r="K22" s="28" t="inlineStr">
        <is>
          <t>Livré</t>
        </is>
      </c>
      <c r="L22" s="27" t="inlineStr">
        <is>
          <t>TableauDeBordMetierTest, ReferentielsEtParametresTest</t>
        </is>
      </c>
      <c r="M22" s="28" t="inlineStr">
        <is>
          <t>À tester</t>
        </is>
      </c>
      <c r="N22" s="28" t="n"/>
      <c r="O22" s="27" t="n"/>
      <c r="P22" s="27" t="n"/>
      <c r="Q22" s="27" t="n"/>
    </row>
    <row r="23" ht="30.4" customHeight="1">
      <c r="A23" s="25" t="inlineStr">
        <is>
          <t>TC-ADM-019</t>
        </is>
      </c>
      <c r="B23" s="26" t="inlineStr">
        <is>
          <t>ADM Administration</t>
        </is>
      </c>
      <c r="C23" s="27" t="inlineStr">
        <is>
          <t>SRS 14.5</t>
        </is>
      </c>
      <c r="D23" s="27" t="inlineStr">
        <is>
          <t>Menu filtré par permissions</t>
        </is>
      </c>
      <c r="E23" s="27" t="inlineStr">
        <is>
          <t>Boutique, Magasin, Direction</t>
        </is>
      </c>
      <c r="F23" s="27" t="inlineStr">
        <is>
          <t>Comptes de chaque profil.</t>
        </is>
      </c>
      <c r="G23" s="27" t="inlineStr">
        <is>
          <t>1. Comparer les entrées de menu affichées pour chaque profil.</t>
        </is>
      </c>
      <c r="H23" s="27" t="inlineStr">
        <is>
          <t>Un groupe de menu disparaît quand aucune de ses entrées n'est accessible. Aucune entrée ne mène à un écran interdit.</t>
        </is>
      </c>
      <c r="I23" s="27" t="inlineStr">
        <is>
          <t>Droits et périmètre</t>
        </is>
      </c>
      <c r="J23" s="28" t="inlineStr">
        <is>
          <t>S</t>
        </is>
      </c>
      <c r="K23" s="28" t="inlineStr">
        <is>
          <t>Livré</t>
        </is>
      </c>
      <c r="L23" s="27" t="inlineStr"/>
      <c r="M23" s="28" t="inlineStr">
        <is>
          <t>À tester</t>
        </is>
      </c>
      <c r="N23" s="28" t="n"/>
      <c r="O23" s="27" t="n"/>
      <c r="P23" s="27" t="n"/>
      <c r="Q23" s="27" t="n"/>
    </row>
    <row r="24" ht="96.39999999999999" customHeight="1">
      <c r="A24" s="25" t="inlineStr">
        <is>
          <t>TC-ADM-020</t>
        </is>
      </c>
      <c r="B24" s="26" t="inlineStr">
        <is>
          <t>ADM Administration</t>
        </is>
      </c>
      <c r="C24" s="27" t="inlineStr">
        <is>
          <t>AUD-01 à AUD-03, US-155</t>
        </is>
      </c>
      <c r="D24" s="27" t="inlineStr">
        <is>
          <t>Journal d'audit en ajout seul</t>
        </is>
      </c>
      <c r="E24" s="27" t="inlineStr">
        <is>
          <t>Administrateur, équipe technique</t>
        </is>
      </c>
      <c r="F24" s="27" t="inlineStr">
        <is>
          <t>Plusieurs opérations déjà effectuées (réception validée, transfert expédié, blocage de châssis, import).</t>
        </is>
      </c>
      <c r="G24" s="27" t="inlineStr">
        <is>
          <t>1. Tableau de bord Administration &gt; Activité récente : lire les dernières actions.
2. En base (table journal_audit), retrouver l'opération : action, auteur, date, valeurs avant/après, motif.
3. En base, tenter un UPDATE puis un DELETE sur le journal, sur les mouvements de stock et sur l'historique des prix.
4. Vérifier la continuité du chaînage de hachage.</t>
        </is>
      </c>
      <c r="H24" s="27" t="inlineStr">
        <is>
          <t>Chaque ligne porte auteur, date, action, objet, valeurs avant/après et motif. Les écritures de modification ou de suppression sont refusées par la base (déclencheur). Le chaînage reste intact. L'écran complet du journal d'audit n'est pas livré dans ce lot (voir limites).</t>
        </is>
      </c>
      <c r="I24" s="27" t="inlineStr">
        <is>
          <t>Audit et traçabilité</t>
        </is>
      </c>
      <c r="J24" s="28" t="inlineStr">
        <is>
          <t>M</t>
        </is>
      </c>
      <c r="K24" s="28" t="inlineStr">
        <is>
          <t>Partiel</t>
        </is>
      </c>
      <c r="L24" s="27" t="inlineStr">
        <is>
          <t>JournalAuditTest</t>
        </is>
      </c>
      <c r="M24" s="28" t="inlineStr">
        <is>
          <t>À tester</t>
        </is>
      </c>
      <c r="N24" s="28" t="n"/>
      <c r="O24" s="27" t="n"/>
      <c r="P24" s="27" t="n"/>
      <c r="Q24" s="27" t="n"/>
    </row>
    <row r="25" ht="83.19999999999999" customHeight="1">
      <c r="A25" s="25" t="inlineStr">
        <is>
          <t>TC-ADM-021</t>
        </is>
      </c>
      <c r="B25" s="26" t="inlineStr">
        <is>
          <t>ADM Administration</t>
        </is>
      </c>
      <c r="C25" s="27" t="inlineStr">
        <is>
          <t>EF-ADM-11, SRS 10.9</t>
        </is>
      </c>
      <c r="D25" s="27" t="inlineStr">
        <is>
          <t>Session : persistance, déconnexion, suspension et changement de rôle</t>
        </is>
      </c>
      <c r="E25" s="27" t="inlineStr">
        <is>
          <t>Administrateur et utilisateur de test</t>
        </is>
      </c>
      <c r="F25" s="27" t="inlineStr">
        <is>
          <t>Un compte actif connecté dans un navigateur.</t>
        </is>
      </c>
      <c r="G25" s="27" t="inlineStr">
        <is>
          <t>1. Naviguer entre plusieurs écrans : la connexion persiste.
2. Se déconnecter : la session et l'accès à l'API sont fermés.
3. En administrateur : suspendre le compte connecté.
4. Reconnecter le compte, puis changer ses rôles par l'administrateur.
5. Revenir sur le navigateur du compte.</t>
        </is>
      </c>
      <c r="H25" s="27" t="inlineStr">
        <is>
          <t>L'état de connexion survit aux requêtes et prend fin à la déconnexion. Une suspension ou un changement de rôle ferme la session immédiatement pour que les droits s'appliquent à la prochaine connexion. Une écriture sans jeton CSRF est refusée.</t>
        </is>
      </c>
      <c r="I25" s="27" t="inlineStr">
        <is>
          <t>Fonctionnel</t>
        </is>
      </c>
      <c r="J25" s="28" t="inlineStr">
        <is>
          <t>S</t>
        </is>
      </c>
      <c r="K25" s="28" t="inlineStr">
        <is>
          <t>Livré</t>
        </is>
      </c>
      <c r="L25" s="27" t="inlineStr">
        <is>
          <t>AuthEtUtilisateursTest, SecuriteTest</t>
        </is>
      </c>
      <c r="M25" s="28" t="inlineStr">
        <is>
          <t>À tester</t>
        </is>
      </c>
      <c r="N25" s="28" t="n"/>
      <c r="O25" s="27" t="n"/>
      <c r="P25" s="27" t="n"/>
      <c r="Q25" s="27" t="n"/>
    </row>
    <row r="26" ht="109.6" customHeight="1">
      <c r="A26" s="29" t="inlineStr">
        <is>
          <t>TC-CAT-001</t>
        </is>
      </c>
      <c r="B26" s="30" t="inlineStr">
        <is>
          <t>CAT Catalogue et châssis</t>
        </is>
      </c>
      <c r="C26" s="27" t="inlineStr">
        <is>
          <t>US-010, EF-CAT-01</t>
        </is>
      </c>
      <c r="D26" s="27" t="inlineStr">
        <is>
          <t>Créer un modèle avec ses prix</t>
        </is>
      </c>
      <c r="E26" s="27" t="inlineStr">
        <is>
          <t>Responsable commercial</t>
        </is>
      </c>
      <c r="F26" s="27" t="inlineStr">
        <is>
          <t>Aucun modèle de code CG125-2026.</t>
        </is>
      </c>
      <c r="G26" s="27" t="inlineStr">
        <is>
          <t>1. Catalogue &gt; Modèles &gt; Nouveau.
2. Saisir marque, modèle, code article CG125-2026, format de châssis (expression), prix de vente 1 250 000, prix minimum 1 150 000.
3. Enregistrer.
4. Tenter de créer un second modèle avec le même code (casse différente).
5. Tenter un prix minimum supérieur au prix de vente.</t>
        </is>
      </c>
      <c r="H26" s="27" t="inlineStr">
        <is>
          <t>Le modèle est créé avec son prix à la date du jour. Le code article est unique sans tenir compte de la casse. Le prix minimum ne peut dépasser le prix de vente.</t>
        </is>
      </c>
      <c r="I26" s="27" t="inlineStr">
        <is>
          <t>Fonctionnel</t>
        </is>
      </c>
      <c r="J26" s="28" t="inlineStr">
        <is>
          <t>M</t>
        </is>
      </c>
      <c r="K26" s="28" t="inlineStr">
        <is>
          <t>Livré</t>
        </is>
      </c>
      <c r="L26" s="27" t="inlineStr">
        <is>
          <t>CatalogueTest</t>
        </is>
      </c>
      <c r="M26" s="28" t="inlineStr">
        <is>
          <t>À tester</t>
        </is>
      </c>
      <c r="N26" s="28" t="n"/>
      <c r="O26" s="27" t="n"/>
      <c r="P26" s="27" t="n"/>
      <c r="Q26" s="27" t="n"/>
    </row>
    <row r="27" ht="83.19999999999999" customHeight="1">
      <c r="A27" s="29" t="inlineStr">
        <is>
          <t>TC-CAT-002</t>
        </is>
      </c>
      <c r="B27" s="30" t="inlineStr">
        <is>
          <t>CAT Catalogue et châssis</t>
        </is>
      </c>
      <c r="C27" s="27" t="inlineStr">
        <is>
          <t>US-011, EF-CAT-02</t>
        </is>
      </c>
      <c r="D27" s="27" t="inlineStr">
        <is>
          <t>Changer un prix avec une date d'effet et consulter l'historique</t>
        </is>
      </c>
      <c r="E27" s="27" t="inlineStr">
        <is>
          <t>Responsable commercial</t>
        </is>
      </c>
      <c r="F27" s="27" t="inlineStr">
        <is>
          <t>Un modèle existant avec un prix de vente.</t>
        </is>
      </c>
      <c r="G27" s="27" t="inlineStr">
        <is>
          <t>1. Fiche modèle &gt; Changer le prix : nouveau prix, date d'effet dans 10 jours, motif.
2. Constater que le prix en vigueur est inchangé et que le prix est « programmé ».
3. Consulter l'historique des prix.
4. Tenter de saisir une date d'effet passée.</t>
        </is>
      </c>
      <c r="H27" s="27" t="inlineStr">
        <is>
          <t>Le prix programmé s'applique à sa date. L'historique (ajout seul) conserve chaque valeur, date d'effet, auteur et motif. Une date passée est refusée.</t>
        </is>
      </c>
      <c r="I27" s="27" t="inlineStr">
        <is>
          <t>Fonctionnel</t>
        </is>
      </c>
      <c r="J27" s="28" t="inlineStr">
        <is>
          <t>M</t>
        </is>
      </c>
      <c r="K27" s="28" t="inlineStr">
        <is>
          <t>Livré</t>
        </is>
      </c>
      <c r="L27" s="27" t="inlineStr">
        <is>
          <t>CatalogueTest</t>
        </is>
      </c>
      <c r="M27" s="28" t="inlineStr">
        <is>
          <t>À tester</t>
        </is>
      </c>
      <c r="N27" s="28" t="n"/>
      <c r="O27" s="27" t="n"/>
      <c r="P27" s="27" t="n"/>
      <c r="Q27" s="27" t="n"/>
    </row>
    <row r="28" ht="56.8" customHeight="1">
      <c r="A28" s="29" t="inlineStr">
        <is>
          <t>TC-CAT-003</t>
        </is>
      </c>
      <c r="B28" s="30" t="inlineStr">
        <is>
          <t>CAT Catalogue et châssis</t>
        </is>
      </c>
      <c r="C28" s="27" t="inlineStr">
        <is>
          <t>US-011, EF-CAT-03</t>
        </is>
      </c>
      <c r="D28" s="27" t="inlineStr">
        <is>
          <t>Baisser le prix minimum exige la validation catalogue</t>
        </is>
      </c>
      <c r="E28" s="27" t="inlineStr">
        <is>
          <t>Commercial / Responsable commercial</t>
        </is>
      </c>
      <c r="F28" s="27" t="inlineStr">
        <is>
          <t>Un modèle ; un compte avec « catalogue : modifier » mais sans « catalogue : valider ».</t>
        </is>
      </c>
      <c r="G28" s="27" t="inlineStr">
        <is>
          <t>1. Sans le droit valider : baisser le prix minimum.
2. Avec le droit valider (Direction) : baisser le prix minimum.
3. Vérifier que min ≤ vente sur toute la chronologie (y compris prix programmés).</t>
        </is>
      </c>
      <c r="H28" s="27" t="inlineStr">
        <is>
          <t>Sans le droit, la baisse est refusée. Avec le droit, elle passe et est tracée. L'invariant minimum ≤ vente tient sur l'ensemble des prix passés et futurs.</t>
        </is>
      </c>
      <c r="I28" s="27" t="inlineStr">
        <is>
          <t>Règle de gestion</t>
        </is>
      </c>
      <c r="J28" s="28" t="inlineStr">
        <is>
          <t>M</t>
        </is>
      </c>
      <c r="K28" s="28" t="inlineStr">
        <is>
          <t>Livré</t>
        </is>
      </c>
      <c r="L28" s="27" t="inlineStr">
        <is>
          <t>CatalogueTest</t>
        </is>
      </c>
      <c r="M28" s="28" t="inlineStr">
        <is>
          <t>À tester</t>
        </is>
      </c>
      <c r="N28" s="28" t="n"/>
      <c r="O28" s="27" t="n"/>
      <c r="P28" s="27" t="n"/>
      <c r="Q28" s="27" t="n"/>
    </row>
    <row r="29" ht="43.59999999999999" customHeight="1">
      <c r="A29" s="29" t="inlineStr">
        <is>
          <t>TC-CAT-004</t>
        </is>
      </c>
      <c r="B29" s="30" t="inlineStr">
        <is>
          <t>CAT Catalogue et châssis</t>
        </is>
      </c>
      <c r="C29" s="27" t="inlineStr">
        <is>
          <t>US-011</t>
        </is>
      </c>
      <c r="D29" s="27" t="inlineStr">
        <is>
          <t>Les commandes déjà validées gardent leur prix</t>
        </is>
      </c>
      <c r="E29" s="27" t="inlineStr">
        <is>
          <t>Commercial</t>
        </is>
      </c>
      <c r="F29" s="27" t="inlineStr">
        <is>
          <t>Module des commandes clients (lot 2).</t>
        </is>
      </c>
      <c r="G29" s="27" t="inlineStr">
        <is>
          <t>1. Valider une commande à un prix.
2. Changer le prix du modèle.
3. Rouvrir la commande.</t>
        </is>
      </c>
      <c r="H29" s="27" t="inlineStr">
        <is>
          <t>La commande conserve le prix validé. À rejouer à la recette du lot 2 : l'historique des prix est livré, le raccordement aux commandes arrive avec elles.</t>
        </is>
      </c>
      <c r="I29" s="27" t="inlineStr">
        <is>
          <t>Règle de gestion</t>
        </is>
      </c>
      <c r="J29" s="28" t="inlineStr">
        <is>
          <t>M</t>
        </is>
      </c>
      <c r="K29" s="28" t="inlineStr">
        <is>
          <t>À livrer</t>
        </is>
      </c>
      <c r="L29" s="27" t="inlineStr"/>
      <c r="M29" s="28" t="inlineStr">
        <is>
          <t>Non livré</t>
        </is>
      </c>
      <c r="N29" s="28" t="n"/>
      <c r="O29" s="27" t="n"/>
      <c r="P29" s="27" t="n"/>
      <c r="Q29" s="27" t="n"/>
    </row>
    <row r="30" ht="56.8" customHeight="1">
      <c r="A30" s="29" t="inlineStr">
        <is>
          <t>TC-CAT-005</t>
        </is>
      </c>
      <c r="B30" s="30" t="inlineStr">
        <is>
          <t>CAT Catalogue et châssis</t>
        </is>
      </c>
      <c r="C30" s="27" t="inlineStr">
        <is>
          <t>EF-CAT-08, SRS 9.2</t>
        </is>
      </c>
      <c r="D30" s="27" t="inlineStr">
        <is>
          <t>Visibilité des prix d'achat selon permission</t>
        </is>
      </c>
      <c r="E30" s="27" t="inlineStr">
        <is>
          <t>Acheteur, Commercial</t>
        </is>
      </c>
      <c r="F30" s="27" t="inlineStr">
        <is>
          <t>Un modèle avec un prix d'achat de référence.</t>
        </is>
      </c>
      <c r="G30" s="27" t="inlineStr">
        <is>
          <t>1. En commercial (sans « prix d'achat : voir ») ouvrir la fiche modèle et la liste des châssis.
2. En acheteur/Direction, refaire.
3. Interroger l'API de détail modèle avec chaque compte.</t>
        </is>
      </c>
      <c r="H30" s="27" t="inlineStr">
        <is>
          <t>Sans le droit, prix d'achat et coût de revient sont absents des écrans, des exports et des réponses API (champ masqué, pas seulement caché). Avec le droit ils apparaissent.</t>
        </is>
      </c>
      <c r="I30" s="27" t="inlineStr">
        <is>
          <t>Droits et périmètre</t>
        </is>
      </c>
      <c r="J30" s="28" t="inlineStr">
        <is>
          <t>M</t>
        </is>
      </c>
      <c r="K30" s="28" t="inlineStr">
        <is>
          <t>Livré</t>
        </is>
      </c>
      <c r="L30" s="27" t="inlineStr">
        <is>
          <t>CatalogueTest, ChassisTest</t>
        </is>
      </c>
      <c r="M30" s="28" t="inlineStr">
        <is>
          <t>À tester</t>
        </is>
      </c>
      <c r="N30" s="28" t="n"/>
      <c r="O30" s="27" t="n"/>
      <c r="P30" s="27" t="n"/>
      <c r="Q30" s="27" t="n"/>
    </row>
    <row r="31" ht="83.19999999999999" customHeight="1">
      <c r="A31" s="29" t="inlineStr">
        <is>
          <t>TC-CAT-006</t>
        </is>
      </c>
      <c r="B31" s="30" t="inlineStr">
        <is>
          <t>CAT Catalogue et châssis</t>
        </is>
      </c>
      <c r="C31" s="27" t="inlineStr">
        <is>
          <t>US-012, EF-CAT-05</t>
        </is>
      </c>
      <c r="D31" s="27" t="inlineStr">
        <is>
          <t>Fiche châssis : toute l'histoire d'une moto</t>
        </is>
      </c>
      <c r="E31" s="27" t="inlineStr">
        <is>
          <t>Magasinier, Direction</t>
        </is>
      </c>
      <c r="F31" s="27" t="inlineStr">
        <is>
          <t>Une moto passée par colisage, réception, transfert et un blocage.</t>
        </is>
      </c>
      <c r="G31" s="27" t="inlineStr">
        <is>
          <t>1. Stock &gt; Châssis (ou Catalogue &gt; Châssis) : rechercher le numéro.
2. Ouvrir la fiche.
3. Lire la chronologie.
4. Se connecter en magasinier sans « prix d'achat : voir » et vérifier le coût.</t>
        </is>
      </c>
      <c r="H31" s="27" t="inlineStr">
        <is>
          <t>La fiche affiche statut, emplacement, date d'entrée, ancienneté et chaque événement daté avec son auteur et ses statuts avant/après (création, arrivée, réception, expédition, réception de transfert, blocage…). Le coût est masqué sans la permission.</t>
        </is>
      </c>
      <c r="I31" s="27" t="inlineStr">
        <is>
          <t>Fonctionnel</t>
        </is>
      </c>
      <c r="J31" s="28" t="inlineStr">
        <is>
          <t>M</t>
        </is>
      </c>
      <c r="K31" s="28" t="inlineStr">
        <is>
          <t>Livré</t>
        </is>
      </c>
      <c r="L31" s="27" t="inlineStr">
        <is>
          <t>ChassisTest</t>
        </is>
      </c>
      <c r="M31" s="28" t="inlineStr">
        <is>
          <t>À tester</t>
        </is>
      </c>
      <c r="N31" s="28" t="n"/>
      <c r="O31" s="27" t="n"/>
      <c r="P31" s="27" t="n"/>
      <c r="Q31" s="27" t="n"/>
    </row>
    <row r="32" ht="83.19999999999999" customHeight="1">
      <c r="A32" s="29" t="inlineStr">
        <is>
          <t>TC-CAT-007</t>
        </is>
      </c>
      <c r="B32" s="30" t="inlineStr">
        <is>
          <t>CAT Catalogue et châssis</t>
        </is>
      </c>
      <c r="C32" s="27" t="inlineStr">
        <is>
          <t>US-013, EF-CAT-07</t>
        </is>
      </c>
      <c r="D32" s="27" t="inlineStr">
        <is>
          <t>Corriger un numéro de châssis avec validation d'un collègue</t>
        </is>
      </c>
      <c r="E32" s="27" t="inlineStr">
        <is>
          <t>Responsable magasin (demandeur), Magasinier 2 (valideur)</t>
        </is>
      </c>
      <c r="F32" s="27" t="inlineStr">
        <is>
          <t>Un châssis au numéro mal saisi.</t>
        </is>
      </c>
      <c r="G32" s="27" t="inlineStr">
        <is>
          <t>1. Fiche châssis &gt; Corriger avec autorisation : nouveau numéro et motif.
2. Constater la demande « en attente ».
3. Tenter de la valider avec le même utilisateur.
4. La valider avec un second utilisateur.
5. Rechercher l'ancien numéro.</t>
        </is>
      </c>
      <c r="H32" s="27" t="inlineStr">
        <is>
          <t>Le demandeur ne peut pas valider sa propre demande. Après validation le châssis porte le nouveau numéro, l'ancien reste trouvable et affiché sur la fiche. Un refus exige un motif. Tout est au journal.</t>
        </is>
      </c>
      <c r="I32" s="27" t="inlineStr">
        <is>
          <t>Règle de gestion</t>
        </is>
      </c>
      <c r="J32" s="28" t="inlineStr">
        <is>
          <t>M</t>
        </is>
      </c>
      <c r="K32" s="28" t="inlineStr">
        <is>
          <t>Livré</t>
        </is>
      </c>
      <c r="L32" s="27" t="inlineStr">
        <is>
          <t>ChassisTest</t>
        </is>
      </c>
      <c r="M32" s="28" t="inlineStr">
        <is>
          <t>À tester</t>
        </is>
      </c>
      <c r="N32" s="28" t="n"/>
      <c r="O32" s="27" t="n"/>
      <c r="P32" s="27" t="n"/>
      <c r="Q32" s="27" t="n"/>
    </row>
    <row r="33" ht="30.4" customHeight="1">
      <c r="A33" s="29" t="inlineStr">
        <is>
          <t>TC-CAT-008</t>
        </is>
      </c>
      <c r="B33" s="30" t="inlineStr">
        <is>
          <t>CAT Catalogue et châssis</t>
        </is>
      </c>
      <c r="C33" s="27" t="inlineStr">
        <is>
          <t>US-013</t>
        </is>
      </c>
      <c r="D33" s="27" t="inlineStr">
        <is>
          <t>Correction refusée si le châssis figure sur une facture normalisée</t>
        </is>
      </c>
      <c r="E33" s="27" t="inlineStr">
        <is>
          <t>Responsable magasin</t>
        </is>
      </c>
      <c r="F33" s="27" t="inlineStr">
        <is>
          <t>Module de facturation (lot 2).</t>
        </is>
      </c>
      <c r="G33" s="27" t="inlineStr">
        <is>
          <t>1. Facturer un châssis (facture normalisée).
2. Demander la correction de son numéro.</t>
        </is>
      </c>
      <c r="H33" s="27" t="inlineStr">
        <is>
          <t>La demande est refusée. Le point d'extension existe côté châssis ; la règle s'active avec le module de facturation (lot 2).</t>
        </is>
      </c>
      <c r="I33" s="27" t="inlineStr">
        <is>
          <t>Règle de gestion</t>
        </is>
      </c>
      <c r="J33" s="28" t="inlineStr">
        <is>
          <t>M</t>
        </is>
      </c>
      <c r="K33" s="28" t="inlineStr">
        <is>
          <t>À livrer</t>
        </is>
      </c>
      <c r="L33" s="27" t="inlineStr"/>
      <c r="M33" s="28" t="inlineStr">
        <is>
          <t>Non livré</t>
        </is>
      </c>
      <c r="N33" s="28" t="n"/>
      <c r="O33" s="27" t="n"/>
      <c r="P33" s="27" t="n"/>
      <c r="Q33" s="27" t="n"/>
    </row>
    <row r="34" ht="83.19999999999999" customHeight="1">
      <c r="A34" s="29" t="inlineStr">
        <is>
          <t>TC-CAT-009</t>
        </is>
      </c>
      <c r="B34" s="30" t="inlineStr">
        <is>
          <t>CAT Catalogue et châssis</t>
        </is>
      </c>
      <c r="C34" s="27" t="inlineStr">
        <is>
          <t>EF-CAT-04, EF-CAT-06</t>
        </is>
      </c>
      <c r="D34" s="27" t="inlineStr">
        <is>
          <t>Liste des châssis : recherche, filtres, export</t>
        </is>
      </c>
      <c r="E34" s="27" t="inlineStr">
        <is>
          <t>Direction, Magasinier</t>
        </is>
      </c>
      <c r="F34" s="27" t="inlineStr">
        <is>
          <t>Une centaine de châssis de statuts variés.</t>
        </is>
      </c>
      <c r="G34" s="27" t="inlineStr">
        <is>
          <t>1. Filtrer par statut, modèle, emplacement, ancienneté minimale (30/60/90/180 jours).
2. Rechercher par fragment de numéro, de moteur, ou par ancien numéro corrigé.
3. Exporter la liste filtrée (CSV) avec puis sans le droit d'export.</t>
        </is>
      </c>
      <c r="H34" s="27" t="inlineStr">
        <is>
          <t>Les filtres se combinent et se retrouvent dans l'adresse (liens depuis le stock). L'export respecte le périmètre et les colonnes autorisées, et est tracé au journal. Sans le droit : refusé.</t>
        </is>
      </c>
      <c r="I34" s="27" t="inlineStr">
        <is>
          <t>Fonctionnel</t>
        </is>
      </c>
      <c r="J34" s="28" t="inlineStr">
        <is>
          <t>S</t>
        </is>
      </c>
      <c r="K34" s="28" t="inlineStr">
        <is>
          <t>Livré</t>
        </is>
      </c>
      <c r="L34" s="27" t="inlineStr">
        <is>
          <t>ChassisTest</t>
        </is>
      </c>
      <c r="M34" s="28" t="inlineStr">
        <is>
          <t>À tester</t>
        </is>
      </c>
      <c r="N34" s="28" t="n"/>
      <c r="O34" s="27" t="n"/>
      <c r="P34" s="27" t="n"/>
      <c r="Q34" s="27" t="n"/>
    </row>
    <row r="35" ht="56.8" customHeight="1">
      <c r="A35" s="29" t="inlineStr">
        <is>
          <t>TC-CAT-010</t>
        </is>
      </c>
      <c r="B35" s="30" t="inlineStr">
        <is>
          <t>CAT Catalogue et châssis</t>
        </is>
      </c>
      <c r="C35" s="27" t="inlineStr">
        <is>
          <t>RG-01, EF-CAT-04</t>
        </is>
      </c>
      <c r="D35" s="27" t="inlineStr">
        <is>
          <t>Unicité du numéro de châssis (casse, tirets, espaces ignorés)</t>
        </is>
      </c>
      <c r="E35" s="27" t="inlineStr">
        <is>
          <t>Magasinier</t>
        </is>
      </c>
      <c r="F35" s="27" t="inlineStr">
        <is>
          <t>Un châssis LWBAB12CD34EF56GH en stock.</t>
        </is>
      </c>
      <c r="G35" s="27" t="inlineStr">
        <is>
          <t>1. Tenter de le recréer via la réception avec la saisie « lwb-ab12 cd34-ef56gh ».
2. Tenter de l'importer dans un fichier de stock initial.
3. Tenter de le scanner comme moto non annoncée.</t>
        </is>
      </c>
      <c r="H35" s="27" t="inlineStr">
        <is>
          <t>Chaque tentative est refusée comme doublon avec l'emplacement actuel de la moto. Un seul châssis existe par numéro normalisé (index unique en base).</t>
        </is>
      </c>
      <c r="I35" s="27" t="inlineStr">
        <is>
          <t>Règle de gestion</t>
        </is>
      </c>
      <c r="J35" s="28" t="inlineStr">
        <is>
          <t>M</t>
        </is>
      </c>
      <c r="K35" s="28" t="inlineStr">
        <is>
          <t>Livré</t>
        </is>
      </c>
      <c r="L35" s="27" t="inlineStr">
        <is>
          <t>ChassisTest, ReceptionsTest, StockInitialTest</t>
        </is>
      </c>
      <c r="M35" s="28" t="inlineStr">
        <is>
          <t>À tester</t>
        </is>
      </c>
      <c r="N35" s="28" t="n"/>
      <c r="O35" s="27" t="n"/>
      <c r="P35" s="27" t="n"/>
      <c r="Q35" s="27" t="n"/>
    </row>
    <row r="36" ht="83.19999999999999" customHeight="1">
      <c r="A36" s="31" t="inlineStr">
        <is>
          <t>TC-APP-001</t>
        </is>
      </c>
      <c r="B36" s="32" t="inlineStr">
        <is>
          <t>APP Approvisionnements</t>
        </is>
      </c>
      <c r="C36" s="27" t="inlineStr">
        <is>
          <t>US-020, EF-APP-01</t>
        </is>
      </c>
      <c r="D36" s="27" t="inlineStr">
        <is>
          <t>Créer une commande fournisseur</t>
        </is>
      </c>
      <c r="E36" s="27" t="inlineStr">
        <is>
          <t>Acheteur</t>
        </is>
      </c>
      <c r="F36" s="27" t="inlineStr">
        <is>
          <t>Un fournisseur actif et un modèle avec prix d'achat.</t>
        </is>
      </c>
      <c r="G36" s="27" t="inlineStr">
        <is>
          <t>1. Approvisionnements &gt; Commandes &gt; Nouvelle.
2. Fournisseur, devise USD, taux de change 600, incoterm FOB, base de prix FOB, lignes : modèle A × 3 à 1 000 USD, modèle B × 2 à 800 USD.
3. Enregistrer.
4. Consulter le stock avant/après.</t>
        </is>
      </c>
      <c r="H36" s="27" t="inlineStr">
        <is>
          <t>La commande est créée au statut COMMANDÉE avec son numéro PO-. Le stock ne change pas (RG-06). Le total est calculé en devise et en FCFA. La Direction est notifiée. La commande est au journal.</t>
        </is>
      </c>
      <c r="I36" s="27" t="inlineStr">
        <is>
          <t>Fonctionnel</t>
        </is>
      </c>
      <c r="J36" s="28" t="inlineStr">
        <is>
          <t>M</t>
        </is>
      </c>
      <c r="K36" s="28" t="inlineStr">
        <is>
          <t>Livré</t>
        </is>
      </c>
      <c r="L36" s="27" t="inlineStr">
        <is>
          <t>CommandesFournisseurTest</t>
        </is>
      </c>
      <c r="M36" s="28" t="inlineStr">
        <is>
          <t>À tester</t>
        </is>
      </c>
      <c r="N36" s="28" t="n"/>
      <c r="O36" s="27" t="n"/>
      <c r="P36" s="27" t="n"/>
      <c r="Q36" s="27" t="n"/>
    </row>
    <row r="37" ht="56.8" customHeight="1">
      <c r="A37" s="31" t="inlineStr">
        <is>
          <t>TC-APP-002</t>
        </is>
      </c>
      <c r="B37" s="32" t="inlineStr">
        <is>
          <t>APP Approvisionnements</t>
        </is>
      </c>
      <c r="C37" s="27" t="inlineStr">
        <is>
          <t>US-021, EF-APP-02</t>
        </is>
      </c>
      <c r="D37" s="27" t="inlineStr">
        <is>
          <t>Faire avancer la commande d'étape en étape</t>
        </is>
      </c>
      <c r="E37" s="27" t="inlineStr">
        <is>
          <t>Acheteur</t>
        </is>
      </c>
      <c r="F37" s="27" t="inlineStr">
        <is>
          <t>Une commande COMMANDÉE.</t>
        </is>
      </c>
      <c r="G37" s="27" t="inlineStr">
        <is>
          <t>1. Avancer vers CONFIRMÉE (référence proforma).
2. Tenter de passer directement à AU PORT.
3. Avancer étape par étape jusqu'à la fin permise.
4. Consulter l'historique de la commande.</t>
        </is>
      </c>
      <c r="H37" s="27" t="inlineStr">
        <is>
          <t>Chaque étape enregistre date et auteur. Une étape sautée est refusée. Les étapes « Réception partielle » et « Réceptionnée » ne s'avancent jamais à la main.</t>
        </is>
      </c>
      <c r="I37" s="27" t="inlineStr">
        <is>
          <t>Règle de gestion</t>
        </is>
      </c>
      <c r="J37" s="28" t="inlineStr">
        <is>
          <t>M</t>
        </is>
      </c>
      <c r="K37" s="28" t="inlineStr">
        <is>
          <t>Livré</t>
        </is>
      </c>
      <c r="L37" s="27" t="inlineStr">
        <is>
          <t>CommandesFournisseurTest</t>
        </is>
      </c>
      <c r="M37" s="28" t="inlineStr">
        <is>
          <t>À tester</t>
        </is>
      </c>
      <c r="N37" s="28" t="n"/>
      <c r="O37" s="27" t="n"/>
      <c r="P37" s="27" t="n"/>
      <c r="Q37" s="27" t="n"/>
    </row>
    <row r="38" ht="83.19999999999999" customHeight="1">
      <c r="A38" s="31" t="inlineStr">
        <is>
          <t>TC-APP-003</t>
        </is>
      </c>
      <c r="B38" s="32" t="inlineStr">
        <is>
          <t>APP Approvisionnements</t>
        </is>
      </c>
      <c r="C38" s="27" t="inlineStr">
        <is>
          <t>EF-APP-02, EF-APP-04</t>
        </is>
      </c>
      <c r="D38" s="27" t="inlineStr">
        <is>
          <t>Étapes de la commande conditionnées par l'arrivage</t>
        </is>
      </c>
      <c r="E38" s="27" t="inlineStr">
        <is>
          <t>Acheteur</t>
        </is>
      </c>
      <c r="F38" s="27" t="inlineStr">
        <is>
          <t>Une commande confirmée avec un arrivage.</t>
        </is>
      </c>
      <c r="G38" s="27" t="inlineStr">
        <is>
          <t>1. Tenter « Dédouanement » alors qu'aucun dédouanement n'est démarré.
2. Tenter « Au port » sans date d'arrivée réelle.
3. Saisir la date d'arrivée, démarrer puis terminer le dédouanement de l'arrivage.
4. Avancer la commande à « À réceptionner ».</t>
        </is>
      </c>
      <c r="H38" s="27" t="inlineStr">
        <is>
          <t>Chaque passage est refusé tant que la condition n'est pas remplie, avec un message qui dit laquelle. Quand le dédouanement est terminé, les motos annoncées passent « À réceptionner » et le magasin est notifié.</t>
        </is>
      </c>
      <c r="I38" s="27" t="inlineStr">
        <is>
          <t>Règle de gestion</t>
        </is>
      </c>
      <c r="J38" s="28" t="inlineStr">
        <is>
          <t>M</t>
        </is>
      </c>
      <c r="K38" s="28" t="inlineStr">
        <is>
          <t>Livré</t>
        </is>
      </c>
      <c r="L38" s="27" t="inlineStr">
        <is>
          <t>ArrivagesTest, CommandesFournisseurTest</t>
        </is>
      </c>
      <c r="M38" s="28" t="inlineStr">
        <is>
          <t>À tester</t>
        </is>
      </c>
      <c r="N38" s="28" t="n"/>
      <c r="O38" s="27" t="n"/>
      <c r="P38" s="27" t="n"/>
      <c r="Q38" s="27" t="n"/>
    </row>
    <row r="39" ht="43.59999999999999" customHeight="1">
      <c r="A39" s="31" t="inlineStr">
        <is>
          <t>TC-APP-004</t>
        </is>
      </c>
      <c r="B39" s="32" t="inlineStr">
        <is>
          <t>APP Approvisionnements</t>
        </is>
      </c>
      <c r="C39" s="27" t="inlineStr">
        <is>
          <t>US-020, SRS 9.3</t>
        </is>
      </c>
      <c r="D39" s="27" t="inlineStr">
        <is>
          <t>Retour arrière de statut : droit spécifique</t>
        </is>
      </c>
      <c r="E39" s="27" t="inlineStr">
        <is>
          <t>Acheteur, Direction</t>
        </is>
      </c>
      <c r="F39" s="27" t="inlineStr">
        <is>
          <t>Une commande à une étape avancée.</t>
        </is>
      </c>
      <c r="G39" s="27" t="inlineStr">
        <is>
          <t>1. En acheteur : tenter un retour arrière.
2. En Direction (droit « retour arrière ») : faire un retour arrière avec motif.</t>
        </is>
      </c>
      <c r="H39" s="27" t="inlineStr">
        <is>
          <t>Refusé sans le droit. Avec le droit, motif obligatoire, historisé.</t>
        </is>
      </c>
      <c r="I39" s="27" t="inlineStr">
        <is>
          <t>Droits et périmètre</t>
        </is>
      </c>
      <c r="J39" s="28" t="inlineStr">
        <is>
          <t>S</t>
        </is>
      </c>
      <c r="K39" s="28" t="inlineStr">
        <is>
          <t>Livré</t>
        </is>
      </c>
      <c r="L39" s="27" t="inlineStr">
        <is>
          <t>CommandesFournisseurTest</t>
        </is>
      </c>
      <c r="M39" s="28" t="inlineStr">
        <is>
          <t>À tester</t>
        </is>
      </c>
      <c r="N39" s="28" t="n"/>
      <c r="O39" s="27" t="n"/>
      <c r="P39" s="27" t="n"/>
      <c r="Q39" s="27" t="n"/>
    </row>
    <row r="40" ht="70" customHeight="1">
      <c r="A40" s="31" t="inlineStr">
        <is>
          <t>TC-APP-005</t>
        </is>
      </c>
      <c r="B40" s="32" t="inlineStr">
        <is>
          <t>APP Approvisionnements</t>
        </is>
      </c>
      <c r="C40" s="27" t="inlineStr">
        <is>
          <t>US-022, EF-APP-03</t>
        </is>
      </c>
      <c r="D40" s="27" t="inlineStr">
        <is>
          <t>Saisir les frais d'un arrivage avec leurs pièces</t>
        </is>
      </c>
      <c r="E40" s="27" t="inlineStr">
        <is>
          <t>Acheteur</t>
        </is>
      </c>
      <c r="F40" s="27" t="inlineStr">
        <is>
          <t>Un arrivage rattaché à une commande.</t>
        </is>
      </c>
      <c r="G40" s="27" t="inlineStr">
        <is>
          <t>1. Arrivage &gt; Frais &gt; Ajouter : type Fret, 1 200 USD, taux 600, sans pièce.
2. Ajouter un frais en FCFA avec pièce.
3. Annuler un frais avec motif.
4. Consulter le coût provisoire de la commande.</t>
        </is>
      </c>
      <c r="H40" s="27" t="inlineStr">
        <is>
          <t>Le montant FCFA est arrondi selon la règle et recalculé. Le frais sans pièce est signalé (alerte). L'annulation exige un motif et reste visible. Le coût de revient provisoire par moto est recalculé.</t>
        </is>
      </c>
      <c r="I40" s="27" t="inlineStr">
        <is>
          <t>Fonctionnel</t>
        </is>
      </c>
      <c r="J40" s="28" t="inlineStr">
        <is>
          <t>M</t>
        </is>
      </c>
      <c r="K40" s="28" t="inlineStr">
        <is>
          <t>Livré</t>
        </is>
      </c>
      <c r="L40" s="27" t="inlineStr">
        <is>
          <t>ArrivagesTest</t>
        </is>
      </c>
      <c r="M40" s="28" t="inlineStr">
        <is>
          <t>À tester</t>
        </is>
      </c>
      <c r="N40" s="28" t="n"/>
      <c r="O40" s="27" t="n"/>
      <c r="P40" s="27" t="n"/>
      <c r="Q40" s="27" t="n"/>
    </row>
    <row r="41" ht="70" customHeight="1">
      <c r="A41" s="31" t="inlineStr">
        <is>
          <t>TC-APP-006</t>
        </is>
      </c>
      <c r="B41" s="32" t="inlineStr">
        <is>
          <t>APP Approvisionnements</t>
        </is>
      </c>
      <c r="C41" s="27" t="inlineStr">
        <is>
          <t>US-023, EF-APP-06</t>
        </is>
      </c>
      <c r="D41" s="27" t="inlineStr">
        <is>
          <t>Importer la liste de colisage (CSV et Excel)</t>
        </is>
      </c>
      <c r="E41" s="27" t="inlineStr">
        <is>
          <t>Acheteur</t>
        </is>
      </c>
      <c r="F41" s="27" t="inlineStr">
        <is>
          <t>Un arrivage et deux fichiers : un CSV et un XLSX de colisage (10 lignes dont 2 fautives : un doublon, un code article inconnu).</t>
        </is>
      </c>
      <c r="G41" s="27" t="inlineStr">
        <is>
          <t>1. Arrivage &gt; Colisage : charger le fichier en mode simulation.
2. Lire le rapport.
3. Relancer sans simulation.
4. Recharger le même fichier.</t>
        </is>
      </c>
      <c r="H41" s="27" t="inlineStr">
        <is>
          <t>La simulation ne crée rien. L'import crée les châssis « En transit fournisseur » (hors stock) avec leur arrivage ; les lignes fautives sont rejetées avec numéro de ligne et motif. Le second import ne crée aucun doublon. La quantité cumulée ne peut dépasser la commande.</t>
        </is>
      </c>
      <c r="I41" s="27" t="inlineStr">
        <is>
          <t>Fonctionnel</t>
        </is>
      </c>
      <c r="J41" s="28" t="inlineStr">
        <is>
          <t>S</t>
        </is>
      </c>
      <c r="K41" s="28" t="inlineStr">
        <is>
          <t>Livré</t>
        </is>
      </c>
      <c r="L41" s="27" t="inlineStr">
        <is>
          <t>ArrivagesTest</t>
        </is>
      </c>
      <c r="M41" s="28" t="inlineStr">
        <is>
          <t>À tester</t>
        </is>
      </c>
      <c r="N41" s="28" t="n"/>
      <c r="O41" s="27" t="n"/>
      <c r="P41" s="27" t="n"/>
      <c r="Q41" s="27" t="n"/>
    </row>
    <row r="42" ht="43.59999999999999" customHeight="1">
      <c r="A42" s="31" t="inlineStr">
        <is>
          <t>TC-APP-007</t>
        </is>
      </c>
      <c r="B42" s="32" t="inlineStr">
        <is>
          <t>APP Approvisionnements</t>
        </is>
      </c>
      <c r="C42" s="27" t="inlineStr">
        <is>
          <t>EF-APP-09</t>
        </is>
      </c>
      <c r="D42" s="27" t="inlineStr">
        <is>
          <t>Suivi des arrivages : retard, état dérivé</t>
        </is>
      </c>
      <c r="E42" s="27" t="inlineStr">
        <is>
          <t>Acheteur, Direction</t>
        </is>
      </c>
      <c r="F42" s="27" t="inlineStr">
        <is>
          <t>Un arrivage avec date d'arrivée prévue dépassée et non arrivé.</t>
        </is>
      </c>
      <c r="G42" s="27" t="inlineStr">
        <is>
          <t>1. Approvisionnements &gt; Arrivages en cours.
2. Constater l'état et le retard en jours.
3. Saisir la date d'arrivée réelle.</t>
        </is>
      </c>
      <c r="H42" s="27" t="inlineStr">
        <is>
          <t>L'état est calculé (en transit, au port, dédouanement, à réceptionner) et le retard s'affiche tant que la marchandise n'est pas arrivée. Le tableau de bord Management le reprend.</t>
        </is>
      </c>
      <c r="I42" s="27" t="inlineStr">
        <is>
          <t>Fonctionnel</t>
        </is>
      </c>
      <c r="J42" s="28" t="inlineStr">
        <is>
          <t>S</t>
        </is>
      </c>
      <c r="K42" s="28" t="inlineStr">
        <is>
          <t>Livré</t>
        </is>
      </c>
      <c r="L42" s="27" t="inlineStr">
        <is>
          <t>ArrivagesTest, TableauDeBordMetierTest</t>
        </is>
      </c>
      <c r="M42" s="28" t="inlineStr">
        <is>
          <t>À tester</t>
        </is>
      </c>
      <c r="N42" s="28" t="n"/>
      <c r="O42" s="27" t="n"/>
      <c r="P42" s="27" t="n"/>
      <c r="Q42" s="27" t="n"/>
    </row>
    <row r="43" ht="56.8" customHeight="1">
      <c r="A43" s="31" t="inlineStr">
        <is>
          <t>TC-APP-008</t>
        </is>
      </c>
      <c r="B43" s="32" t="inlineStr">
        <is>
          <t>APP Approvisionnements</t>
        </is>
      </c>
      <c r="C43" s="27" t="inlineStr">
        <is>
          <t>SRS 9.2</t>
        </is>
      </c>
      <c r="D43" s="27" t="inlineStr">
        <is>
          <t>Droits du module : acheteur, magasin, contrôleur</t>
        </is>
      </c>
      <c r="E43" s="27" t="inlineStr">
        <is>
          <t>Magasinier, Contrôleur</t>
        </is>
      </c>
      <c r="F43" s="27" t="inlineStr">
        <is>
          <t>Une commande existante.</t>
        </is>
      </c>
      <c r="G43" s="27" t="inlineStr">
        <is>
          <t>1. En magasinier : ouvrir les commandes.
2. Tenter de créer une commande et de voir les prix d'achat.</t>
        </is>
      </c>
      <c r="H43" s="27" t="inlineStr">
        <is>
          <t>Lecture seule pour le magasin et le contrôleur. La création est refusée côté API. Les prix sont masqués sans « prix d'achat : voir » (ou « approvisionnements : créer » pour les prix de commande).</t>
        </is>
      </c>
      <c r="I43" s="27" t="inlineStr">
        <is>
          <t>Droits et périmètre</t>
        </is>
      </c>
      <c r="J43" s="28" t="inlineStr">
        <is>
          <t>M</t>
        </is>
      </c>
      <c r="K43" s="28" t="inlineStr">
        <is>
          <t>Livré</t>
        </is>
      </c>
      <c r="L43" s="27" t="inlineStr">
        <is>
          <t>CommandesFournisseurTest</t>
        </is>
      </c>
      <c r="M43" s="28" t="inlineStr">
        <is>
          <t>À tester</t>
        </is>
      </c>
      <c r="N43" s="28" t="n"/>
      <c r="O43" s="27" t="n"/>
      <c r="P43" s="27" t="n"/>
      <c r="Q43" s="27" t="n"/>
    </row>
    <row r="44" ht="70" customHeight="1">
      <c r="A44" s="33" t="inlineStr">
        <is>
          <t>TC-REC-001</t>
        </is>
      </c>
      <c r="B44" s="34" t="inlineStr">
        <is>
          <t>REC Réceptions</t>
        </is>
      </c>
      <c r="C44" s="27" t="inlineStr">
        <is>
          <t>EF-REC-01</t>
        </is>
      </c>
      <c r="D44" s="27" t="inlineStr">
        <is>
          <t>Ouvrir une réception depuis un arrivage dédouané</t>
        </is>
      </c>
      <c r="E44" s="27" t="inlineStr">
        <is>
          <t>Magasinier</t>
        </is>
      </c>
      <c r="F44" s="27" t="inlineStr">
        <is>
          <t>Une commande « À réceptionner », un arrivage dédouané avec colisage, un magasin dans le périmètre.</t>
        </is>
      </c>
      <c r="G44" s="27" t="inlineStr">
        <is>
          <t>1. Stock &gt; Réceptions : l'arrivage apparaît dans « Arrivages à réceptionner ».
2. Cliquer Réceptionner.
3. Retourner à la liste et recliquer sur le même arrivage.
4. Tenter d'ouvrir une réception sur un arrivage non dédouané.</t>
        </is>
      </c>
      <c r="H44" s="27" t="inlineStr">
        <is>
          <t>Une réception BROUILLON est créée avec son numéro. Une seule réception ouverte par arrivage (le bouton devient « Reprendre »). Un arrivage non dédouané est refusé. Le lieu de réception est un magasin actif du périmètre.</t>
        </is>
      </c>
      <c r="I44" s="27" t="inlineStr">
        <is>
          <t>Fonctionnel</t>
        </is>
      </c>
      <c r="J44" s="28" t="inlineStr">
        <is>
          <t>M</t>
        </is>
      </c>
      <c r="K44" s="28" t="inlineStr">
        <is>
          <t>Livré</t>
        </is>
      </c>
      <c r="L44" s="27" t="inlineStr">
        <is>
          <t>ReceptionsTest</t>
        </is>
      </c>
      <c r="M44" s="28" t="inlineStr">
        <is>
          <t>À tester</t>
        </is>
      </c>
      <c r="N44" s="28" t="n"/>
      <c r="O44" s="27" t="n"/>
      <c r="P44" s="27" t="n"/>
      <c r="Q44" s="27" t="n"/>
    </row>
    <row r="45" ht="96.39999999999999" customHeight="1">
      <c r="A45" s="33" t="inlineStr">
        <is>
          <t>TC-REC-002</t>
        </is>
      </c>
      <c r="B45" s="34" t="inlineStr">
        <is>
          <t>REC Réceptions</t>
        </is>
      </c>
      <c r="C45" s="27" t="inlineStr">
        <is>
          <t>US-024, EF-REC-02, EF-REC-03</t>
        </is>
      </c>
      <c r="D45" s="27" t="inlineStr">
        <is>
          <t>Scanner les châssis reçus : contrôles à la saisie</t>
        </is>
      </c>
      <c r="E45" s="27" t="inlineStr">
        <is>
          <t>Magasinier</t>
        </is>
      </c>
      <c r="F45" s="27" t="inlineStr">
        <is>
          <t>Une réception ouverte pour un colisage de 3 motos modèle A et 1 moto modèle B.</t>
        </is>
      </c>
      <c r="G45" s="27" t="inlineStr">
        <is>
          <t>1. Scanner un châssis annoncé (saisie en minuscules avec tirets).
2. Rescanner le même.
3. Scanner un numéro au mauvais format du modèle.
4. Scanner un châssis déjà en stock ailleurs.
5. Scanner un châssis d'un autre modèle que celui annoncé.
6. Scanner 20 numéros d'affilée très vite (lecteur).</t>
        </is>
      </c>
      <c r="H45" s="27" t="inlineStr">
        <is>
          <t>Chaque contrôle affiche son message (doublon, format, déjà en stock, modèle différent). Aucun scan n'est perdu lors d'une saisie rapide. Le compteur attendu / reçu / écart par modèle suit en continu.</t>
        </is>
      </c>
      <c r="I45" s="27" t="inlineStr">
        <is>
          <t>Fonctionnel</t>
        </is>
      </c>
      <c r="J45" s="28" t="inlineStr">
        <is>
          <t>M</t>
        </is>
      </c>
      <c r="K45" s="28" t="inlineStr">
        <is>
          <t>Livré</t>
        </is>
      </c>
      <c r="L45" s="27" t="inlineStr">
        <is>
          <t>ReceptionsTest</t>
        </is>
      </c>
      <c r="M45" s="28" t="inlineStr">
        <is>
          <t>À tester</t>
        </is>
      </c>
      <c r="N45" s="28" t="n"/>
      <c r="O45" s="27" t="n"/>
      <c r="P45" s="27" t="n"/>
      <c r="Q45" s="27" t="n"/>
    </row>
    <row r="46" ht="56.8" customHeight="1">
      <c r="A46" s="33" t="inlineStr">
        <is>
          <t>TC-REC-003</t>
        </is>
      </c>
      <c r="B46" s="34" t="inlineStr">
        <is>
          <t>REC Réceptions</t>
        </is>
      </c>
      <c r="C46" s="27" t="inlineStr">
        <is>
          <t>EF-REC-04, EF-REC-06</t>
        </is>
      </c>
      <c r="D46" s="27" t="inlineStr">
        <is>
          <t>Moto non annoncée : justification et signalement</t>
        </is>
      </c>
      <c r="E46" s="27" t="inlineStr">
        <is>
          <t>Magasinier, Contrôleur</t>
        </is>
      </c>
      <c r="F46" s="27" t="inlineStr">
        <is>
          <t>Une réception ouverte avec colisage ; un compte contrôleur actif.</t>
        </is>
      </c>
      <c r="G46" s="27" t="inlineStr">
        <is>
          <t>1. Scanner un numéro absent du colisage : l'écran demande le modèle, puis la justification.
2. Valider la réception.
3. Se connecter en contrôleur.</t>
        </is>
      </c>
      <c r="H46" s="27" t="inlineStr">
        <is>
          <t>La moto est acceptée seulement avec modèle et motif ; elle apparaît « Inattendue » et en surplus dans le rapprochement. Le contrôleur reçoit une notification.</t>
        </is>
      </c>
      <c r="I46" s="27" t="inlineStr">
        <is>
          <t>Fonctionnel</t>
        </is>
      </c>
      <c r="J46" s="28" t="inlineStr">
        <is>
          <t>S</t>
        </is>
      </c>
      <c r="K46" s="28" t="inlineStr">
        <is>
          <t>Livré</t>
        </is>
      </c>
      <c r="L46" s="27" t="inlineStr">
        <is>
          <t>ReceptionsTest</t>
        </is>
      </c>
      <c r="M46" s="28" t="inlineStr">
        <is>
          <t>À tester</t>
        </is>
      </c>
      <c r="N46" s="28" t="n"/>
      <c r="O46" s="27" t="n"/>
      <c r="P46" s="27" t="n"/>
      <c r="Q46" s="27" t="n"/>
    </row>
    <row r="47" ht="70" customHeight="1">
      <c r="A47" s="33" t="inlineStr">
        <is>
          <t>TC-REC-004</t>
        </is>
      </c>
      <c r="B47" s="34" t="inlineStr">
        <is>
          <t>REC Réceptions</t>
        </is>
      </c>
      <c r="C47" s="27" t="inlineStr">
        <is>
          <t>US-027, EF-REC-07</t>
        </is>
      </c>
      <c r="D47" s="27" t="inlineStr">
        <is>
          <t>Signaler une moto endommagée : entrée bloquée</t>
        </is>
      </c>
      <c r="E47" s="27" t="inlineStr">
        <is>
          <t>Magasinier</t>
        </is>
      </c>
      <c r="F47" s="27" t="inlineStr">
        <is>
          <t>Une réception ouverte.</t>
        </is>
      </c>
      <c r="G47" s="27" t="inlineStr">
        <is>
          <t>1. Scanner une moto, cocher « Moto endommagée », saisir la description du dommage.
2. Valider la réception (autre utilisateur).
3. Vérifier le statut et la liste « Châssis bloqués ».
4. Joindre une photo du dommage (voir limites).</t>
        </is>
      </c>
      <c r="H47" s="27" t="inlineStr">
        <is>
          <t>Sans description, le scan est refusé. La moto entre BLOQUÉE avec son motif et n'est pas proposée à la vente. La photo n'est pas livrée dans ce lot (module Documents) : le motif texte la remplace pour l'instant.</t>
        </is>
      </c>
      <c r="I47" s="27" t="inlineStr">
        <is>
          <t>Fonctionnel</t>
        </is>
      </c>
      <c r="J47" s="28" t="inlineStr">
        <is>
          <t>S</t>
        </is>
      </c>
      <c r="K47" s="28" t="inlineStr">
        <is>
          <t>Partiel</t>
        </is>
      </c>
      <c r="L47" s="27" t="inlineStr">
        <is>
          <t>ReceptionsTest</t>
        </is>
      </c>
      <c r="M47" s="28" t="inlineStr">
        <is>
          <t>À tester</t>
        </is>
      </c>
      <c r="N47" s="28" t="n"/>
      <c r="O47" s="27" t="n"/>
      <c r="P47" s="27" t="n"/>
      <c r="Q47" s="27" t="n"/>
    </row>
    <row r="48" ht="56.8" customHeight="1">
      <c r="A48" s="33" t="inlineStr">
        <is>
          <t>TC-REC-005</t>
        </is>
      </c>
      <c r="B48" s="34" t="inlineStr">
        <is>
          <t>REC Réceptions</t>
        </is>
      </c>
      <c r="C48" s="27" t="inlineStr">
        <is>
          <t>EF-REC-05, RG-06</t>
        </is>
      </c>
      <c r="D48" s="27" t="inlineStr">
        <is>
          <t>Un brouillon n'a aucun effet sur le stock</t>
        </is>
      </c>
      <c r="E48" s="27" t="inlineStr">
        <is>
          <t>Magasinier</t>
        </is>
      </c>
      <c r="F48" s="27" t="inlineStr">
        <is>
          <t>Une réception avec 3 châssis scannés, non validée.</t>
        </is>
      </c>
      <c r="G48" s="27" t="inlineStr">
        <is>
          <t>1. Noter le stock physique du magasin et le statut des châssis scannés.
2. Retirer un châssis de la liste.
3. Consulter le stock, les mouvements et la commande.</t>
        </is>
      </c>
      <c r="H48" s="27" t="inlineStr">
        <is>
          <t>Statuts, stock, mouvements et quantités reçues de la commande sont inchangés. Retirer une ligne remet les compteurs à jour.</t>
        </is>
      </c>
      <c r="I48" s="27" t="inlineStr">
        <is>
          <t>Règle de gestion</t>
        </is>
      </c>
      <c r="J48" s="28" t="inlineStr">
        <is>
          <t>M</t>
        </is>
      </c>
      <c r="K48" s="28" t="inlineStr">
        <is>
          <t>Livré</t>
        </is>
      </c>
      <c r="L48" s="27" t="inlineStr">
        <is>
          <t>ReceptionsTest</t>
        </is>
      </c>
      <c r="M48" s="28" t="inlineStr">
        <is>
          <t>À tester</t>
        </is>
      </c>
      <c r="N48" s="28" t="n"/>
      <c r="O48" s="27" t="n"/>
      <c r="P48" s="27" t="n"/>
      <c r="Q48" s="27" t="n"/>
    </row>
    <row r="49" ht="70" customHeight="1">
      <c r="A49" s="33" t="inlineStr">
        <is>
          <t>TC-REC-006</t>
        </is>
      </c>
      <c r="B49" s="34" t="inlineStr">
        <is>
          <t>REC Réceptions</t>
        </is>
      </c>
      <c r="C49" s="27" t="inlineStr">
        <is>
          <t>US-025, EF-REC-05, RG-19</t>
        </is>
      </c>
      <c r="D49" s="27" t="inlineStr">
        <is>
          <t>Valider la réception par un second utilisateur</t>
        </is>
      </c>
      <c r="E49" s="27" t="inlineStr">
        <is>
          <t>Magasinier (ouvre), Responsable magasin (valide)</t>
        </is>
      </c>
      <c r="F49" s="27" t="inlineStr">
        <is>
          <t>Une réception de 3 châssis (1 endommagé).</t>
        </is>
      </c>
      <c r="G49" s="27" t="inlineStr">
        <is>
          <t>1. Avec l'utilisateur qui a ouvert la réception : tenter de valider.
2. Avec un autre utilisateur du magasin : valider.
3. Consulter le stock, les mouvements des châssis, la commande, la fiche d'un châssis.</t>
        </is>
      </c>
      <c r="H49" s="27" t="inlineStr">
        <is>
          <t>Le même utilisateur est refusé. Après validation, le stock augmente du nombre exact de châssis reçus (2 disponibles, 1 bloqué), des mouvements « Réception » sont écrits, les quantités reçues de la commande sont mises à jour et le PV est généré. La réception validée ne bouge plus.</t>
        </is>
      </c>
      <c r="I49" s="27" t="inlineStr">
        <is>
          <t>Règle de gestion</t>
        </is>
      </c>
      <c r="J49" s="28" t="inlineStr">
        <is>
          <t>M</t>
        </is>
      </c>
      <c r="K49" s="28" t="inlineStr">
        <is>
          <t>Livré</t>
        </is>
      </c>
      <c r="L49" s="27" t="inlineStr">
        <is>
          <t>ReceptionsTest</t>
        </is>
      </c>
      <c r="M49" s="28" t="inlineStr">
        <is>
          <t>À tester</t>
        </is>
      </c>
      <c r="N49" s="28" t="n"/>
      <c r="O49" s="27" t="n"/>
      <c r="P49" s="27" t="n"/>
      <c r="Q49" s="27" t="n"/>
    </row>
    <row r="50" ht="70" customHeight="1">
      <c r="A50" s="33" t="inlineStr">
        <is>
          <t>TC-REC-007</t>
        </is>
      </c>
      <c r="B50" s="34" t="inlineStr">
        <is>
          <t>REC Réceptions</t>
        </is>
      </c>
      <c r="C50" s="27" t="inlineStr">
        <is>
          <t>US-026, EF-REC-01, RG-07</t>
        </is>
      </c>
      <c r="D50" s="27" t="inlineStr">
        <is>
          <t>Recevoir un arrivage en plusieurs fois</t>
        </is>
      </c>
      <c r="E50" s="27" t="inlineStr">
        <is>
          <t>Magasinier</t>
        </is>
      </c>
      <c r="F50" s="27" t="inlineStr">
        <is>
          <t>Une commande de 5 motos (3 A, 2 B), colisage de 4.</t>
        </is>
      </c>
      <c r="G50" s="27" t="inlineStr">
        <is>
          <t>1. Réception 1 : valider 3 motos.
2. Consulter la commande (statut, quantités reçues) et le reliquat de l'arrivage.
3. Ouvrir une seconde réception sur le même arrivage et valider le reste.</t>
        </is>
      </c>
      <c r="H50" s="27" t="inlineStr">
        <is>
          <t>La commande passe « Réception partielle » avec son reliquat, puis « Réceptionnée » quand tout est là. Une seconde réception est possible et n'inclut que ce qui reste à recevoir. Chaque réception a son numéro et son PV.</t>
        </is>
      </c>
      <c r="I50" s="27" t="inlineStr">
        <is>
          <t>Règle de gestion</t>
        </is>
      </c>
      <c r="J50" s="28" t="inlineStr">
        <is>
          <t>M</t>
        </is>
      </c>
      <c r="K50" s="28" t="inlineStr">
        <is>
          <t>Livré</t>
        </is>
      </c>
      <c r="L50" s="27" t="inlineStr">
        <is>
          <t>ReceptionsTest</t>
        </is>
      </c>
      <c r="M50" s="28" t="inlineStr">
        <is>
          <t>À tester</t>
        </is>
      </c>
      <c r="N50" s="28" t="n"/>
      <c r="O50" s="27" t="n"/>
      <c r="P50" s="27" t="n"/>
      <c r="Q50" s="27" t="n"/>
    </row>
    <row r="51" ht="56.8" customHeight="1">
      <c r="A51" s="33" t="inlineStr">
        <is>
          <t>TC-REC-008</t>
        </is>
      </c>
      <c r="B51" s="34" t="inlineStr">
        <is>
          <t>REC Réceptions</t>
        </is>
      </c>
      <c r="C51" s="27" t="inlineStr">
        <is>
          <t>EF-REC-08</t>
        </is>
      </c>
      <c r="D51" s="27" t="inlineStr">
        <is>
          <t>Procès-verbal de réception en PDF</t>
        </is>
      </c>
      <c r="E51" s="27" t="inlineStr">
        <is>
          <t>Responsable magasin</t>
        </is>
      </c>
      <c r="F51" s="27" t="inlineStr">
        <is>
          <t>Une réception validée avec écarts.</t>
        </is>
      </c>
      <c r="G51" s="27" t="inlineStr">
        <is>
          <t>1. Ouvrir la réception validée &gt; Télécharger le procès-verbal.
2. Vérifier le contenu.
3. Tenter de l'obtenir pour une réception encore en brouillon.</t>
        </is>
      </c>
      <c r="H51" s="27" t="inlineStr">
        <is>
          <t>Le PDF contient magasin, arrivage, commande, rapprochement attendu/reçu/écart par modèle, liste des châssis (état, observation), manquants, observations et cases de signature. Indisponible tant que la réception n'est pas validée.</t>
        </is>
      </c>
      <c r="I51" s="27" t="inlineStr">
        <is>
          <t>Fonctionnel</t>
        </is>
      </c>
      <c r="J51" s="28" t="inlineStr">
        <is>
          <t>M</t>
        </is>
      </c>
      <c r="K51" s="28" t="inlineStr">
        <is>
          <t>Livré</t>
        </is>
      </c>
      <c r="L51" s="27" t="inlineStr">
        <is>
          <t>ReceptionsTest</t>
        </is>
      </c>
      <c r="M51" s="28" t="inlineStr">
        <is>
          <t>À tester</t>
        </is>
      </c>
      <c r="N51" s="28" t="n"/>
      <c r="O51" s="27" t="n"/>
      <c r="P51" s="27" t="n"/>
      <c r="Q51" s="27" t="n"/>
    </row>
    <row r="52" ht="56.8" customHeight="1">
      <c r="A52" s="33" t="inlineStr">
        <is>
          <t>TC-REC-009</t>
        </is>
      </c>
      <c r="B52" s="34" t="inlineStr">
        <is>
          <t>REC Réceptions</t>
        </is>
      </c>
      <c r="C52" s="27" t="inlineStr">
        <is>
          <t>EF-REC-10</t>
        </is>
      </c>
      <c r="D52" s="27" t="inlineStr">
        <is>
          <t>Saisie sur téléphone ou tablette, appareil photo comme lecteur</t>
        </is>
      </c>
      <c r="E52" s="27" t="inlineStr">
        <is>
          <t>Magasinier</t>
        </is>
      </c>
      <c r="F52" s="27" t="inlineStr">
        <is>
          <t>Un smartphone ou une tablette sur le réseau de recette.</t>
        </is>
      </c>
      <c r="G52" s="27" t="inlineStr">
        <is>
          <t>1. Ouvrir l'écran de réception sur le téléphone.
2. Saisir et valider des numéros au clavier, puis avec un lecteur Bluetooth.
3. Essayer de scanner un code-barres avec la caméra.</t>
        </is>
      </c>
      <c r="H52" s="27" t="inlineStr">
        <is>
          <t>L'écran est utilisable au doigt (champ large, retour clavier). Le scan par caméra n'est pas livré dans ce lot : le clavier et le lecteur externe fonctionnent.</t>
        </is>
      </c>
      <c r="I52" s="27" t="inlineStr">
        <is>
          <t>Fonctionnel</t>
        </is>
      </c>
      <c r="J52" s="28" t="inlineStr">
        <is>
          <t>M</t>
        </is>
      </c>
      <c r="K52" s="28" t="inlineStr">
        <is>
          <t>Partiel</t>
        </is>
      </c>
      <c r="L52" s="27" t="inlineStr"/>
      <c r="M52" s="28" t="inlineStr">
        <is>
          <t>À tester</t>
        </is>
      </c>
      <c r="N52" s="28" t="n"/>
      <c r="O52" s="27" t="n"/>
      <c r="P52" s="27" t="n"/>
      <c r="Q52" s="27" t="n"/>
    </row>
    <row r="53" ht="43.59999999999999" customHeight="1">
      <c r="A53" s="33" t="inlineStr">
        <is>
          <t>TC-REC-010</t>
        </is>
      </c>
      <c r="B53" s="34" t="inlineStr">
        <is>
          <t>REC Réceptions</t>
        </is>
      </c>
      <c r="C53" s="27" t="inlineStr">
        <is>
          <t>EF-REC-09</t>
        </is>
      </c>
      <c r="D53" s="27" t="inlineStr">
        <is>
          <t>Corriger une réception validée par inversion</t>
        </is>
      </c>
      <c r="E53" s="27" t="inlineStr">
        <is>
          <t>Responsable magasin avec droit spécifique</t>
        </is>
      </c>
      <c r="F53" s="27" t="inlineStr">
        <is>
          <t>Une réception validée dont les châssis sont encore disponibles.</t>
        </is>
      </c>
      <c r="G53" s="27" t="inlineStr">
        <is>
          <t>1. Tenter d'inverser la réception.</t>
        </is>
      </c>
      <c r="H53" s="27" t="inlineStr">
        <is>
          <t>Non livré dans ce lot (inversion à venir avec le module des ajustements) : aucun bouton d'annulation d'une réception validée n'existe, ce qui respecte RG-18 en attendant.</t>
        </is>
      </c>
      <c r="I53" s="27" t="inlineStr">
        <is>
          <t>Règle de gestion</t>
        </is>
      </c>
      <c r="J53" s="28" t="inlineStr">
        <is>
          <t>M</t>
        </is>
      </c>
      <c r="K53" s="28" t="inlineStr">
        <is>
          <t>À livrer</t>
        </is>
      </c>
      <c r="L53" s="27" t="inlineStr"/>
      <c r="M53" s="28" t="inlineStr">
        <is>
          <t>Non livré</t>
        </is>
      </c>
      <c r="N53" s="28" t="n"/>
      <c r="O53" s="27" t="n"/>
      <c r="P53" s="27" t="n"/>
      <c r="Q53" s="27" t="n"/>
    </row>
    <row r="54" ht="56.8" customHeight="1">
      <c r="A54" s="33" t="inlineStr">
        <is>
          <t>TC-REC-011</t>
        </is>
      </c>
      <c r="B54" s="34" t="inlineStr">
        <is>
          <t>REC Réceptions</t>
        </is>
      </c>
      <c r="C54" s="27" t="inlineStr">
        <is>
          <t>SRS 9.2, EF-ADM-13</t>
        </is>
      </c>
      <c r="D54" s="27" t="inlineStr">
        <is>
          <t>Droits et périmètre du module réceptions</t>
        </is>
      </c>
      <c r="E54" s="27" t="inlineStr">
        <is>
          <t>Magasinier, Boutique, Commercial</t>
        </is>
      </c>
      <c r="F54" s="27" t="inlineStr">
        <is>
          <t>Une réception dans le magasin A.</t>
        </is>
      </c>
      <c r="G54" s="27" t="inlineStr">
        <is>
          <t>1. En magasinier du magasin B : ouvrir la réception du magasin A.
2. En boutique ou commercial : ouvrir le module et tenter une création par l'API.</t>
        </is>
      </c>
      <c r="H54" s="27" t="inlineStr">
        <is>
          <t>La réception d'un autre magasin est introuvable. Boutique et commercial n'ont pas accès au module (403).</t>
        </is>
      </c>
      <c r="I54" s="27" t="inlineStr">
        <is>
          <t>Droits et périmètre</t>
        </is>
      </c>
      <c r="J54" s="28" t="inlineStr">
        <is>
          <t>M</t>
        </is>
      </c>
      <c r="K54" s="28" t="inlineStr">
        <is>
          <t>Livré</t>
        </is>
      </c>
      <c r="L54" s="27" t="inlineStr">
        <is>
          <t>ReceptionsTest</t>
        </is>
      </c>
      <c r="M54" s="28" t="inlineStr">
        <is>
          <t>À tester</t>
        </is>
      </c>
      <c r="N54" s="28" t="n"/>
      <c r="O54" s="27" t="n"/>
      <c r="P54" s="27" t="n"/>
      <c r="Q54" s="27" t="n"/>
    </row>
    <row r="55" ht="56.8" customHeight="1">
      <c r="A55" s="35" t="inlineStr">
        <is>
          <t>TC-STK-001</t>
        </is>
      </c>
      <c r="B55" s="36" t="inlineStr">
        <is>
          <t>STK Stock</t>
        </is>
      </c>
      <c r="C55" s="27" t="inlineStr">
        <is>
          <t>US-040, EF-STK-01, EF-STK-03</t>
        </is>
      </c>
      <c r="D55" s="27" t="inlineStr">
        <is>
          <t>Voir le stock physique, réservé, disponible, bloqué et en transit par modèle</t>
        </is>
      </c>
      <c r="E55" s="27" t="inlineStr">
        <is>
          <t>Magasinier</t>
        </is>
      </c>
      <c r="F55" s="27" t="inlineStr">
        <is>
          <t>Dans un magasin : 5 disponibles, 2 réservées, 1 en préparation, 1 bloquée, 1 livrée. (Reproduire un cas 100 / 20 / 80 par import si possible.)</t>
        </is>
      </c>
      <c r="G55" s="27" t="inlineStr">
        <is>
          <t>1. Stock &gt; Stock.
2. Lire les compteurs du magasin et la ligne du modèle.
3. Cliquer « Voir les châssis ».</t>
        </is>
      </c>
      <c r="H55" s="27" t="inlineStr">
        <is>
          <t>Physique 9, réservé 3, bloqué 1, disponible 5 (= physique − réservé − bloqué). La livrée n'est pas comptée. Avec 100 motos physiques dont 20 réservées l'écran affiche 80 disponibles. Le lien ouvre la liste des châssis déjà filtrée.</t>
        </is>
      </c>
      <c r="I55" s="27" t="inlineStr">
        <is>
          <t>Fonctionnel</t>
        </is>
      </c>
      <c r="J55" s="28" t="inlineStr">
        <is>
          <t>M</t>
        </is>
      </c>
      <c r="K55" s="28" t="inlineStr">
        <is>
          <t>Livré</t>
        </is>
      </c>
      <c r="L55" s="27" t="inlineStr">
        <is>
          <t>StockTest</t>
        </is>
      </c>
      <c r="M55" s="28" t="inlineStr">
        <is>
          <t>À tester</t>
        </is>
      </c>
      <c r="N55" s="28" t="n"/>
      <c r="O55" s="27" t="n"/>
      <c r="P55" s="27" t="n"/>
      <c r="Q55" s="27" t="n"/>
    </row>
    <row r="56" ht="43.59999999999999" customHeight="1">
      <c r="A56" s="35" t="inlineStr">
        <is>
          <t>TC-STK-002</t>
        </is>
      </c>
      <c r="B56" s="36" t="inlineStr">
        <is>
          <t>STK Stock</t>
        </is>
      </c>
      <c r="C56" s="27" t="inlineStr">
        <is>
          <t>US-041, EF-STK-02</t>
        </is>
      </c>
      <c r="D56" s="27" t="inlineStr">
        <is>
          <t>Stock global consolidé sans double comptage</t>
        </is>
      </c>
      <c r="E56" s="27" t="inlineStr">
        <is>
          <t>Direction</t>
        </is>
      </c>
      <c r="F56" s="27" t="inlineStr">
        <is>
          <t>Magasin, boutique, un dépôt revendeur, une moto en transit interne, deux motos « en transit fournisseur ».</t>
        </is>
      </c>
      <c r="G56" s="27" t="inlineStr">
        <is>
          <t>1. En Direction : Stock &gt; Stock (vue consolidée).
2. Comparer le total aux lignes par emplacement.
3. Vérifier la carte « En cours d'importation ».</t>
        </is>
      </c>
      <c r="H56" s="27" t="inlineStr">
        <is>
          <t>Stock global = sites + transit interne + dépôt-vente, chaque châssis compté une fois. Le total égale la somme des emplacements. Les motos non encore reçues sont affichées à part, hors stock.</t>
        </is>
      </c>
      <c r="I56" s="27" t="inlineStr">
        <is>
          <t>Règle de gestion</t>
        </is>
      </c>
      <c r="J56" s="28" t="inlineStr">
        <is>
          <t>M</t>
        </is>
      </c>
      <c r="K56" s="28" t="inlineStr">
        <is>
          <t>Livré</t>
        </is>
      </c>
      <c r="L56" s="27" t="inlineStr">
        <is>
          <t>StockTest</t>
        </is>
      </c>
      <c r="M56" s="28" t="inlineStr">
        <is>
          <t>À tester</t>
        </is>
      </c>
      <c r="N56" s="28" t="n"/>
      <c r="O56" s="27" t="n"/>
      <c r="P56" s="27" t="n"/>
      <c r="Q56" s="27" t="n"/>
    </row>
    <row r="57" ht="43.59999999999999" customHeight="1">
      <c r="A57" s="35" t="inlineStr">
        <is>
          <t>TC-STK-003</t>
        </is>
      </c>
      <c r="B57" s="36" t="inlineStr">
        <is>
          <t>STK Stock</t>
        </is>
      </c>
      <c r="C57" s="27" t="inlineStr">
        <is>
          <t>EF-STK-10</t>
        </is>
      </c>
      <c r="D57" s="27" t="inlineStr">
        <is>
          <t>Stock limité aux emplacements de l'utilisateur</t>
        </is>
      </c>
      <c r="E57" s="27" t="inlineStr">
        <is>
          <t>Boutique, Magasinier</t>
        </is>
      </c>
      <c r="F57" s="27" t="inlineStr">
        <is>
          <t>Du stock dans plusieurs emplacements.</t>
        </is>
      </c>
      <c r="G57" s="27" t="inlineStr">
        <is>
          <t>1. En boutique : Stock &gt; Stock, Mouvements, Châssis bloqués, Transferts.
2. Appeler l'API de stock d'un autre emplacement.</t>
        </is>
      </c>
      <c r="H57" s="27" t="inlineStr">
        <is>
          <t>Seuls les emplacements de la personne apparaissent. Les emplacements hors périmètre sont introuvables (404) et le stock global n'est pas exposé.</t>
        </is>
      </c>
      <c r="I57" s="27" t="inlineStr">
        <is>
          <t>Droits et périmètre</t>
        </is>
      </c>
      <c r="J57" s="28" t="inlineStr">
        <is>
          <t>M</t>
        </is>
      </c>
      <c r="K57" s="28" t="inlineStr">
        <is>
          <t>Livré</t>
        </is>
      </c>
      <c r="L57" s="27" t="inlineStr">
        <is>
          <t>StockTest</t>
        </is>
      </c>
      <c r="M57" s="28" t="inlineStr">
        <is>
          <t>À tester</t>
        </is>
      </c>
      <c r="N57" s="28" t="n"/>
      <c r="O57" s="27" t="n"/>
      <c r="P57" s="27" t="n"/>
      <c r="Q57" s="27" t="n"/>
    </row>
    <row r="58" ht="83.19999999999999" customHeight="1">
      <c r="A58" s="35" t="inlineStr">
        <is>
          <t>TC-STK-004</t>
        </is>
      </c>
      <c r="B58" s="36" t="inlineStr">
        <is>
          <t>STK Stock</t>
        </is>
      </c>
      <c r="C58" s="27" t="inlineStr">
        <is>
          <t>US-042, EF-STK-06</t>
        </is>
      </c>
      <c r="D58" s="27" t="inlineStr">
        <is>
          <t>Bloquer un châssis en litige (motif et pièce obligatoires) puis le débloquer</t>
        </is>
      </c>
      <c r="E58" s="27" t="inlineStr">
        <is>
          <t>Responsable magasin</t>
        </is>
      </c>
      <c r="F58" s="27" t="inlineStr">
        <is>
          <t>Un châssis disponible, un autre réservé.</t>
        </is>
      </c>
      <c r="G58" s="27" t="inlineStr">
        <is>
          <t>1. Fiche châssis &gt; Bloquer sans motif, puis sans pièce.
2. Bloquer avec motif et référence de pièce.
3. Tenter de bloquer le châssis réservé.
4. Stock &gt; Châssis bloqués : lire le motif et l'ancienneté.
5. Débloquer avec un motif.
6. Lire l'historique du châssis.</t>
        </is>
      </c>
      <c r="H58" s="27" t="inlineStr">
        <is>
          <t>Motif et pièce sont obligatoires. Seule une moto disponible se bloque. Le châssis bloqué n'est plus proposé à la vente (disponible − 1, physique inchangé). Le déblocage exige un motif. Blocage et déblocage sont tracés (mouvement, audit) et le contrôle est notifié.</t>
        </is>
      </c>
      <c r="I58" s="27" t="inlineStr">
        <is>
          <t>Fonctionnel</t>
        </is>
      </c>
      <c r="J58" s="28" t="inlineStr">
        <is>
          <t>M</t>
        </is>
      </c>
      <c r="K58" s="28" t="inlineStr">
        <is>
          <t>Livré</t>
        </is>
      </c>
      <c r="L58" s="27" t="inlineStr">
        <is>
          <t>StockTest</t>
        </is>
      </c>
      <c r="M58" s="28" t="inlineStr">
        <is>
          <t>À tester</t>
        </is>
      </c>
      <c r="N58" s="28" t="n"/>
      <c r="O58" s="27" t="n"/>
      <c r="P58" s="27" t="n"/>
      <c r="Q58" s="27" t="n"/>
    </row>
    <row r="59" ht="30.4" customHeight="1">
      <c r="A59" s="35" t="inlineStr">
        <is>
          <t>TC-STK-005</t>
        </is>
      </c>
      <c r="B59" s="36" t="inlineStr">
        <is>
          <t>STK Stock</t>
        </is>
      </c>
      <c r="C59" s="27" t="inlineStr">
        <is>
          <t>US-042</t>
        </is>
      </c>
      <c r="D59" s="27" t="inlineStr">
        <is>
          <t>Pièce justificative jointe au blocage</t>
        </is>
      </c>
      <c r="E59" s="27" t="inlineStr">
        <is>
          <t>Responsable magasin</t>
        </is>
      </c>
      <c r="F59" s="27" t="inlineStr">
        <is>
          <t>Module Documents (lot ultérieur).</t>
        </is>
      </c>
      <c r="G59" s="27" t="inlineStr">
        <is>
          <t>1. Bloquer un châssis en joignant un fichier ou une photo.</t>
        </is>
      </c>
      <c r="H59" s="27" t="inlineStr">
        <is>
          <t>Dans ce lot la pièce est une référence texte (n° de PV, de litige). Le dépôt de fichier arrive avec le module Documents.</t>
        </is>
      </c>
      <c r="I59" s="27" t="inlineStr">
        <is>
          <t>Fonctionnel</t>
        </is>
      </c>
      <c r="J59" s="28" t="inlineStr">
        <is>
          <t>M</t>
        </is>
      </c>
      <c r="K59" s="28" t="inlineStr">
        <is>
          <t>Partiel</t>
        </is>
      </c>
      <c r="L59" s="27" t="inlineStr">
        <is>
          <t>StockTest</t>
        </is>
      </c>
      <c r="M59" s="28" t="inlineStr">
        <is>
          <t>À tester</t>
        </is>
      </c>
      <c r="N59" s="28" t="n"/>
      <c r="O59" s="27" t="n"/>
      <c r="P59" s="27" t="n"/>
      <c r="Q59" s="27" t="n"/>
    </row>
    <row r="60" ht="30.4" customHeight="1">
      <c r="A60" s="35" t="inlineStr">
        <is>
          <t>TC-STK-006</t>
        </is>
      </c>
      <c r="B60" s="36" t="inlineStr">
        <is>
          <t>STK Stock</t>
        </is>
      </c>
      <c r="C60" s="27" t="inlineStr">
        <is>
          <t>SRS 9.2</t>
        </is>
      </c>
      <c r="D60" s="27" t="inlineStr">
        <is>
          <t>Droit spécifique pour bloquer et débloquer</t>
        </is>
      </c>
      <c r="E60" s="27" t="inlineStr">
        <is>
          <t>Boutique / lecture seule</t>
        </is>
      </c>
      <c r="F60" s="27" t="inlineStr">
        <is>
          <t>Un compte avec « stock : voir » seulement.</t>
        </is>
      </c>
      <c r="G60" s="27" t="inlineStr">
        <is>
          <t>1. Tenter de bloquer et de débloquer par l'écran, puis par l'API.</t>
        </is>
      </c>
      <c r="H60" s="27" t="inlineStr">
        <is>
          <t>Aucun bouton n'est proposé et l'API répond 403. Un châssis hors périmètre répond 404.</t>
        </is>
      </c>
      <c r="I60" s="27" t="inlineStr">
        <is>
          <t>Droits et périmètre</t>
        </is>
      </c>
      <c r="J60" s="28" t="inlineStr">
        <is>
          <t>M</t>
        </is>
      </c>
      <c r="K60" s="28" t="inlineStr">
        <is>
          <t>Livré</t>
        </is>
      </c>
      <c r="L60" s="27" t="inlineStr">
        <is>
          <t>StockTest</t>
        </is>
      </c>
      <c r="M60" s="28" t="inlineStr">
        <is>
          <t>À tester</t>
        </is>
      </c>
      <c r="N60" s="28" t="n"/>
      <c r="O60" s="27" t="n"/>
      <c r="P60" s="27" t="n"/>
      <c r="Q60" s="27" t="n"/>
    </row>
    <row r="61" ht="43.59999999999999" customHeight="1">
      <c r="A61" s="35" t="inlineStr">
        <is>
          <t>TC-STK-007</t>
        </is>
      </c>
      <c r="B61" s="36" t="inlineStr">
        <is>
          <t>STK Stock</t>
        </is>
      </c>
      <c r="C61" s="27" t="inlineStr">
        <is>
          <t>EF-STK-05</t>
        </is>
      </c>
      <c r="D61" s="27" t="inlineStr">
        <is>
          <t>Journal des mouvements par châssis, modèle, emplacement, type et période</t>
        </is>
      </c>
      <c r="E61" s="27" t="inlineStr">
        <is>
          <t>Contrôleur, Direction</t>
        </is>
      </c>
      <c r="F61" s="27" t="inlineStr">
        <is>
          <t>Plusieurs mouvements sur une moto (réception, blocage, déblocage, transfert).</t>
        </is>
      </c>
      <c r="G61" s="27" t="inlineStr">
        <is>
          <t>1. Stock &gt; Mouvements : rechercher par numéro de châssis.
2. Filtrer par modèle, emplacement, type, période.
3. Cliquer sur un châssis.</t>
        </is>
      </c>
      <c r="H61" s="27" t="inlineStr">
        <is>
          <t>Les mouvements s'affichent du plus récent au plus ancien avec statut avant/après, emplacements, motif et auteur. Le périmètre limite les lignes visibles. Les mouvements sont en ajout seul.</t>
        </is>
      </c>
      <c r="I61" s="27" t="inlineStr">
        <is>
          <t>Fonctionnel</t>
        </is>
      </c>
      <c r="J61" s="28" t="inlineStr">
        <is>
          <t>M</t>
        </is>
      </c>
      <c r="K61" s="28" t="inlineStr">
        <is>
          <t>Livré</t>
        </is>
      </c>
      <c r="L61" s="27" t="inlineStr">
        <is>
          <t>StockTest</t>
        </is>
      </c>
      <c r="M61" s="28" t="inlineStr">
        <is>
          <t>À tester</t>
        </is>
      </c>
      <c r="N61" s="28" t="n"/>
      <c r="O61" s="27" t="n"/>
      <c r="P61" s="27" t="n"/>
      <c r="Q61" s="27" t="n"/>
    </row>
    <row r="62" ht="56.8" customHeight="1">
      <c r="A62" s="35" t="inlineStr">
        <is>
          <t>TC-STK-008</t>
        </is>
      </c>
      <c r="B62" s="36" t="inlineStr">
        <is>
          <t>STK Stock</t>
        </is>
      </c>
      <c r="C62" s="27" t="inlineStr">
        <is>
          <t>EF-STK-04</t>
        </is>
      </c>
      <c r="D62" s="27" t="inlineStr">
        <is>
          <t>Aucun écran ni appel de modification directe d'une quantité</t>
        </is>
      </c>
      <c r="E62" s="27" t="inlineStr">
        <is>
          <t>Administrateur</t>
        </is>
      </c>
      <c r="F62" s="27" t="inlineStr">
        <is>
          <t>—</t>
        </is>
      </c>
      <c r="G62" s="27" t="inlineStr">
        <is>
          <t>1. Parcourir les écrans de stock : chercher un champ de saisie de quantité.
2. Tenter PUT/POST/DELETE sur les ressources de stock et de mouvements par l'API.</t>
        </is>
      </c>
      <c r="H62" s="27" t="inlineStr">
        <is>
          <t>Aucune saisie de quantité n'existe. Les appels de modification répondent 4xx. Tout mouvement vient d'une opération (réception, transfert, blocage, import).</t>
        </is>
      </c>
      <c r="I62" s="27" t="inlineStr">
        <is>
          <t>Règle de gestion</t>
        </is>
      </c>
      <c r="J62" s="28" t="inlineStr">
        <is>
          <t>M</t>
        </is>
      </c>
      <c r="K62" s="28" t="inlineStr">
        <is>
          <t>Livré</t>
        </is>
      </c>
      <c r="L62" s="27" t="inlineStr">
        <is>
          <t>StockTest</t>
        </is>
      </c>
      <c r="M62" s="28" t="inlineStr">
        <is>
          <t>À tester</t>
        </is>
      </c>
      <c r="N62" s="28" t="n"/>
      <c r="O62" s="27" t="n"/>
      <c r="P62" s="27" t="n"/>
      <c r="Q62" s="27" t="n"/>
    </row>
    <row r="63" ht="43.59999999999999" customHeight="1">
      <c r="A63" s="35" t="inlineStr">
        <is>
          <t>TC-STK-009</t>
        </is>
      </c>
      <c r="B63" s="36" t="inlineStr">
        <is>
          <t>STK Stock</t>
        </is>
      </c>
      <c r="C63" s="27" t="inlineStr">
        <is>
          <t>US-046, EF-STK-08</t>
        </is>
      </c>
      <c r="D63" s="27" t="inlineStr">
        <is>
          <t>Consulter le stock à une date passée</t>
        </is>
      </c>
      <c r="E63" s="27" t="inlineStr">
        <is>
          <t>Comptable</t>
        </is>
      </c>
      <c r="F63" s="27" t="inlineStr">
        <is>
          <t>Des mouvements sur plusieurs semaines.</t>
        </is>
      </c>
      <c r="G63" s="27" t="inlineStr">
        <is>
          <t>1. Demander le stock à une date passée par modèle et emplacement.</t>
        </is>
      </c>
      <c r="H63" s="27" t="inlineStr">
        <is>
          <t>Non livré dans ce lot : le journal des mouvements est complet et en ajout seul, ce qui permet la reconstitution, mais l'écran « stock à date » est prévu au sprint de rapports.</t>
        </is>
      </c>
      <c r="I63" s="27" t="inlineStr">
        <is>
          <t>Fonctionnel</t>
        </is>
      </c>
      <c r="J63" s="28" t="inlineStr">
        <is>
          <t>M</t>
        </is>
      </c>
      <c r="K63" s="28" t="inlineStr">
        <is>
          <t>À livrer</t>
        </is>
      </c>
      <c r="L63" s="27" t="inlineStr"/>
      <c r="M63" s="28" t="inlineStr">
        <is>
          <t>Non livré</t>
        </is>
      </c>
      <c r="N63" s="28" t="n"/>
      <c r="O63" s="27" t="n"/>
      <c r="P63" s="27" t="n"/>
      <c r="Q63" s="27" t="n"/>
    </row>
    <row r="64" ht="56.8" customHeight="1">
      <c r="A64" s="35" t="inlineStr">
        <is>
          <t>TC-STK-010</t>
        </is>
      </c>
      <c r="B64" s="36" t="inlineStr">
        <is>
          <t>STK Stock</t>
        </is>
      </c>
      <c r="C64" s="27" t="inlineStr">
        <is>
          <t>EF-STK-09</t>
        </is>
      </c>
      <c r="D64" s="27" t="inlineStr">
        <is>
          <t>Contrôle de cohérence nocturne emplacement/statut</t>
        </is>
      </c>
      <c r="E64" s="27" t="inlineStr">
        <is>
          <t>Contrôleur</t>
        </is>
      </c>
      <c r="F64" s="27" t="inlineStr">
        <is>
          <t>—</t>
        </is>
      </c>
      <c r="G64" s="27" t="inlineStr">
        <is>
          <t>1. Provoquer en base une incohérence (châssis disponible sans emplacement) — impossible grâce aux contraintes.
2. Observer l'ouverture d'une anomalie.</t>
        </is>
      </c>
      <c r="H64" s="27" t="inlineStr">
        <is>
          <t>Non livré dans ce lot. Les contraintes de base (un emplacement courant, statut compatible avec l'emplacement) empêchent déjà l'incohérence ; la détection nocturne arrive avec le module Anomalies.</t>
        </is>
      </c>
      <c r="I64" s="27" t="inlineStr">
        <is>
          <t>Règle de gestion</t>
        </is>
      </c>
      <c r="J64" s="28" t="inlineStr">
        <is>
          <t>M</t>
        </is>
      </c>
      <c r="K64" s="28" t="inlineStr">
        <is>
          <t>À livrer</t>
        </is>
      </c>
      <c r="L64" s="27" t="inlineStr"/>
      <c r="M64" s="28" t="inlineStr">
        <is>
          <t>Non livré</t>
        </is>
      </c>
      <c r="N64" s="28" t="n"/>
      <c r="O64" s="27" t="n"/>
      <c r="P64" s="27" t="n"/>
      <c r="Q64" s="27" t="n"/>
    </row>
    <row r="65" ht="43.59999999999999" customHeight="1">
      <c r="A65" s="35" t="inlineStr">
        <is>
          <t>TC-STK-011</t>
        </is>
      </c>
      <c r="B65" s="36" t="inlineStr">
        <is>
          <t>STK Stock</t>
        </is>
      </c>
      <c r="C65" s="27" t="inlineStr">
        <is>
          <t>EF-STK-07</t>
        </is>
      </c>
      <c r="D65" s="27" t="inlineStr">
        <is>
          <t>Ancienneté en stock par châssis</t>
        </is>
      </c>
      <c r="E65" s="27" t="inlineStr">
        <is>
          <t>Commercial, Direction</t>
        </is>
      </c>
      <c r="F65" s="27" t="inlineStr">
        <is>
          <t>Des motos en stock depuis plus de 90 jours.</t>
        </is>
      </c>
      <c r="G65" s="27" t="inlineStr">
        <is>
          <t>1. Tableau de bord Commercial : bloc « À écouler en priorité ».
2. Liste des châssis : filtre d'ancienneté.
3. Rotation par modèle.</t>
        </is>
      </c>
      <c r="H65" s="27" t="inlineStr">
        <is>
          <t>L'ancienneté par châssis est livrée (liste, fiche, tableau de bord Commercial). La rotation par modèle n'est pas livrée.</t>
        </is>
      </c>
      <c r="I65" s="27" t="inlineStr">
        <is>
          <t>Fonctionnel</t>
        </is>
      </c>
      <c r="J65" s="28" t="inlineStr">
        <is>
          <t>S</t>
        </is>
      </c>
      <c r="K65" s="28" t="inlineStr">
        <is>
          <t>Partiel</t>
        </is>
      </c>
      <c r="L65" s="27" t="inlineStr">
        <is>
          <t>TableauDeBordMetierTest, ChassisTest</t>
        </is>
      </c>
      <c r="M65" s="28" t="inlineStr">
        <is>
          <t>À tester</t>
        </is>
      </c>
      <c r="N65" s="28" t="n"/>
      <c r="O65" s="27" t="n"/>
      <c r="P65" s="27" t="n"/>
      <c r="Q65" s="27" t="n"/>
    </row>
    <row r="66" ht="30.4" customHeight="1">
      <c r="A66" s="35" t="inlineStr">
        <is>
          <t>TC-STK-012</t>
        </is>
      </c>
      <c r="B66" s="36" t="inlineStr">
        <is>
          <t>STK Stock</t>
        </is>
      </c>
      <c r="C66" s="27" t="inlineStr">
        <is>
          <t>EF-STK-11</t>
        </is>
      </c>
      <c r="D66" s="27" t="inlineStr">
        <is>
          <t>Alerte de seuil de stock disponible par modèle et emplacement</t>
        </is>
      </c>
      <c r="E66" s="27" t="inlineStr">
        <is>
          <t>Responsable magasin</t>
        </is>
      </c>
      <c r="F66" s="27" t="inlineStr">
        <is>
          <t>—</t>
        </is>
      </c>
      <c r="G66" s="27" t="inlineStr">
        <is>
          <t>1. Paramétrer un seuil minimal.
2. Descendre sous le seuil.</t>
        </is>
      </c>
      <c r="H66" s="27" t="inlineStr">
        <is>
          <t>Non livré dans ce lot (priorité « Pourrait »).</t>
        </is>
      </c>
      <c r="I66" s="27" t="inlineStr">
        <is>
          <t>Fonctionnel</t>
        </is>
      </c>
      <c r="J66" s="28" t="inlineStr">
        <is>
          <t>C</t>
        </is>
      </c>
      <c r="K66" s="28" t="inlineStr">
        <is>
          <t>À livrer</t>
        </is>
      </c>
      <c r="L66" s="27" t="inlineStr"/>
      <c r="M66" s="28" t="inlineStr">
        <is>
          <t>Non livré</t>
        </is>
      </c>
      <c r="N66" s="28" t="n"/>
      <c r="O66" s="27" t="n"/>
      <c r="P66" s="27" t="n"/>
      <c r="Q66" s="27" t="n"/>
    </row>
    <row r="67" ht="83.19999999999999" customHeight="1">
      <c r="A67" s="37" t="inlineStr">
        <is>
          <t>TC-TRF-001</t>
        </is>
      </c>
      <c r="B67" s="38" t="inlineStr">
        <is>
          <t>TRF Transferts</t>
        </is>
      </c>
      <c r="C67" s="27" t="inlineStr">
        <is>
          <t>US-043, EF-TRF-01, EF-TRF-03</t>
        </is>
      </c>
      <c r="D67" s="27" t="inlineStr">
        <is>
          <t>Créer un transfert avec la liste obligatoire de châssis disponibles</t>
        </is>
      </c>
      <c r="E67" s="27" t="inlineStr">
        <is>
          <t>Magasinier</t>
        </is>
      </c>
      <c r="F67" s="27" t="inlineStr">
        <is>
          <t>Un magasin source avec 5 motos disponibles, 1 réservée ; une boutique destination.</t>
        </is>
      </c>
      <c r="G67" s="27" t="inlineStr">
        <is>
          <t>1. Stock &gt; Transferts &gt; Nouveau.
2. Choisir source et destination ; valider sans châssis.
3. Scanner un châssis disponible, un réservé, un inconnu, un d'un autre site.
4. Cocher trois motos dans la liste, créer.
5. Vérifier le stock et les mouvements.</t>
        </is>
      </c>
      <c r="H67" s="27" t="inlineStr">
        <is>
          <t>Un transfert sans châssis est refusé. Les châssis non disponibles à la source sont refusés avec le motif par numéro. Le transfert « Initié » porte son numéro (TR-code-année-séquence). Aucun mouvement de stock n'est écrit (RG, EF-TRF-02).</t>
        </is>
      </c>
      <c r="I67" s="27" t="inlineStr">
        <is>
          <t>Fonctionnel</t>
        </is>
      </c>
      <c r="J67" s="28" t="inlineStr">
        <is>
          <t>M</t>
        </is>
      </c>
      <c r="K67" s="28" t="inlineStr">
        <is>
          <t>Livré</t>
        </is>
      </c>
      <c r="L67" s="27" t="inlineStr">
        <is>
          <t>TransfertsTest</t>
        </is>
      </c>
      <c r="M67" s="28" t="inlineStr">
        <is>
          <t>À tester</t>
        </is>
      </c>
      <c r="N67" s="28" t="n"/>
      <c r="O67" s="27" t="n"/>
      <c r="P67" s="27" t="n"/>
      <c r="Q67" s="27" t="n"/>
    </row>
    <row r="68" ht="43.59999999999999" customHeight="1">
      <c r="A68" s="37" t="inlineStr">
        <is>
          <t>TC-TRF-002</t>
        </is>
      </c>
      <c r="B68" s="38" t="inlineStr">
        <is>
          <t>TRF Transferts</t>
        </is>
      </c>
      <c r="C68" s="27" t="inlineStr">
        <is>
          <t>EF-TRF-01</t>
        </is>
      </c>
      <c r="D68" s="27" t="inlineStr">
        <is>
          <t>Un châssis ne figure que dans un transfert en cours</t>
        </is>
      </c>
      <c r="E68" s="27" t="inlineStr">
        <is>
          <t>Magasinier</t>
        </is>
      </c>
      <c r="F68" s="27" t="inlineStr">
        <is>
          <t>Un transfert initié contenant le châssis X.</t>
        </is>
      </c>
      <c r="G68" s="27" t="inlineStr">
        <is>
          <t>1. Créer un second transfert avec X.
2. Ouvrir la liste des châssis proposés à la création.
3. Annuler le premier transfert puis recommencer.</t>
        </is>
      </c>
      <c r="H68" s="27" t="inlineStr">
        <is>
          <t>Le second transfert est refusé (« déjà dans un autre transfert »). X n'est plus proposé. Après annulation du premier, X est de nouveau libre.</t>
        </is>
      </c>
      <c r="I68" s="27" t="inlineStr">
        <is>
          <t>Règle de gestion</t>
        </is>
      </c>
      <c r="J68" s="28" t="inlineStr">
        <is>
          <t>M</t>
        </is>
      </c>
      <c r="K68" s="28" t="inlineStr">
        <is>
          <t>Livré</t>
        </is>
      </c>
      <c r="L68" s="27" t="inlineStr">
        <is>
          <t>TransfertsTest</t>
        </is>
      </c>
      <c r="M68" s="28" t="inlineStr">
        <is>
          <t>À tester</t>
        </is>
      </c>
      <c r="N68" s="28" t="n"/>
      <c r="O68" s="27" t="n"/>
      <c r="P68" s="27" t="n"/>
      <c r="Q68" s="27" t="n"/>
    </row>
    <row r="69" ht="83.19999999999999" customHeight="1">
      <c r="A69" s="37" t="inlineStr">
        <is>
          <t>TC-TRF-003</t>
        </is>
      </c>
      <c r="B69" s="38" t="inlineStr">
        <is>
          <t>TRF Transferts</t>
        </is>
      </c>
      <c r="C69" s="27" t="inlineStr">
        <is>
          <t>EF-TRF-02, US-043</t>
        </is>
      </c>
      <c r="D69" s="27" t="inlineStr">
        <is>
          <t>Expédier : sortie de la source et passage en transit interne</t>
        </is>
      </c>
      <c r="E69" s="27" t="inlineStr">
        <is>
          <t>Magasinier (source)</t>
        </is>
      </c>
      <c r="F69" s="27" t="inlineStr">
        <is>
          <t>Un transfert initié de 3 motos.</t>
        </is>
      </c>
      <c r="G69" s="27" t="inlineStr">
        <is>
          <t>1. Expédier depuis un compte de la destination seulement (doit être refusé).
2. Expédier depuis la source : confirmer.
3. Consulter le stock source, le stock global, le statut et l'emplacement des châssis, les mouvements.
4. Télécharger le bon de transfert.</t>
        </is>
      </c>
      <c r="H69" s="27" t="inlineStr">
        <is>
          <t>Le stock de la source baisse de 3. Les motos sont « En transit interne » dans l'emplacement de transit : comptées ni à la source ni à la destination. Des mouvements « Transfert expédié » sont écrits. Le bon PDF liste les châssis et les signatures. Le personnel de la destination est notifié.</t>
        </is>
      </c>
      <c r="I69" s="27" t="inlineStr">
        <is>
          <t>Fonctionnel</t>
        </is>
      </c>
      <c r="J69" s="28" t="inlineStr">
        <is>
          <t>M</t>
        </is>
      </c>
      <c r="K69" s="28" t="inlineStr">
        <is>
          <t>Livré</t>
        </is>
      </c>
      <c r="L69" s="27" t="inlineStr">
        <is>
          <t>TransfertsTest</t>
        </is>
      </c>
      <c r="M69" s="28" t="inlineStr">
        <is>
          <t>À tester</t>
        </is>
      </c>
      <c r="N69" s="28" t="n"/>
      <c r="O69" s="27" t="n"/>
      <c r="P69" s="27" t="n"/>
      <c r="Q69" s="27" t="n"/>
    </row>
    <row r="70" ht="83.19999999999999" customHeight="1">
      <c r="A70" s="37" t="inlineStr">
        <is>
          <t>TC-TRF-004</t>
        </is>
      </c>
      <c r="B70" s="38" t="inlineStr">
        <is>
          <t>TRF Transferts</t>
        </is>
      </c>
      <c r="C70" s="27" t="inlineStr">
        <is>
          <t>US-044, EF-TRF-04</t>
        </is>
      </c>
      <c r="D70" s="27" t="inlineStr">
        <is>
          <t>Réceptionner par scan : manquant en transit, non prévu refusé, anomalie A12</t>
        </is>
      </c>
      <c r="E70" s="27" t="inlineStr">
        <is>
          <t>Vendeur boutique (destination)</t>
        </is>
      </c>
      <c r="F70" s="27" t="inlineStr">
        <is>
          <t>Un transfert expédié de 10 motos.</t>
        </is>
      </c>
      <c r="G70" s="27" t="inlineStr">
        <is>
          <t>1. En destination : ouvrir le transfert &gt; Réception par pointage.
2. Pointer 9 motos du transfert et 1 moto non prévue.
3. Cocher « Clôturer avec un écart » et confirmer.
4. Consulter le stock destination, la moto manquante, l'anomalie, les notifications du contrôle.</t>
        </is>
      </c>
      <c r="H70" s="27" t="inlineStr">
        <is>
          <t>Le stock de la destination augmente des 9 motos pointées. La moto manquante reste EN TRANSIT INTERNE et l'anomalie A12 est ouverte avec le coût des motos manquantes. La moto non prévue est refusée, signalée et tracée. Le contrôle est notifié.</t>
        </is>
      </c>
      <c r="I70" s="27" t="inlineStr">
        <is>
          <t>Fonctionnel</t>
        </is>
      </c>
      <c r="J70" s="28" t="inlineStr">
        <is>
          <t>M</t>
        </is>
      </c>
      <c r="K70" s="28" t="inlineStr">
        <is>
          <t>Livré</t>
        </is>
      </c>
      <c r="L70" s="27" t="inlineStr">
        <is>
          <t>TransfertsTest</t>
        </is>
      </c>
      <c r="M70" s="28" t="inlineStr">
        <is>
          <t>À tester</t>
        </is>
      </c>
      <c r="N70" s="28" t="n"/>
      <c r="O70" s="27" t="n"/>
      <c r="P70" s="27" t="n"/>
      <c r="Q70" s="27" t="n"/>
    </row>
    <row r="71" ht="43.59999999999999" customHeight="1">
      <c r="A71" s="37" t="inlineStr">
        <is>
          <t>TC-TRF-005</t>
        </is>
      </c>
      <c r="B71" s="38" t="inlineStr">
        <is>
          <t>TRF Transferts</t>
        </is>
      </c>
      <c r="C71" s="27" t="inlineStr">
        <is>
          <t>EF-TRF-05, RG-19</t>
        </is>
      </c>
      <c r="D71" s="27" t="inlineStr">
        <is>
          <t>Expéditeur et réceptionnaire différents (paramétrable)</t>
        </is>
      </c>
      <c r="E71" s="27" t="inlineStr">
        <is>
          <t>Magasinier (expédie), Compte des deux sites</t>
        </is>
      </c>
      <c r="F71" s="27" t="inlineStr">
        <is>
          <t>Un compte rattaché aux deux sites ; paramètre « Transfert réceptionné par un autre utilisateur » = Oui.</t>
        </is>
      </c>
      <c r="G71" s="27" t="inlineStr">
        <is>
          <t>1. Avec ce compte : créer, expédier puis tenter de réceptionner.
2. Passer le paramètre à Non et recommencer.
3. Remettre Oui.</t>
        </is>
      </c>
      <c r="H71" s="27" t="inlineStr">
        <is>
          <t>Avec Oui, la réception par le même utilisateur est refusée (le panneau de pointage n'est pas proposé, l'API répond 403). Avec Non elle passe.</t>
        </is>
      </c>
      <c r="I71" s="27" t="inlineStr">
        <is>
          <t>Règle de gestion</t>
        </is>
      </c>
      <c r="J71" s="28" t="inlineStr">
        <is>
          <t>M</t>
        </is>
      </c>
      <c r="K71" s="28" t="inlineStr">
        <is>
          <t>Livré</t>
        </is>
      </c>
      <c r="L71" s="27" t="inlineStr">
        <is>
          <t>TransfertsTest</t>
        </is>
      </c>
      <c r="M71" s="28" t="inlineStr">
        <is>
          <t>À tester</t>
        </is>
      </c>
      <c r="N71" s="28" t="n"/>
      <c r="O71" s="27" t="n"/>
      <c r="P71" s="27" t="n"/>
      <c r="Q71" s="27" t="n"/>
    </row>
    <row r="72" ht="43.59999999999999" customHeight="1">
      <c r="A72" s="37" t="inlineStr">
        <is>
          <t>TC-TRF-006</t>
        </is>
      </c>
      <c r="B72" s="38" t="inlineStr">
        <is>
          <t>TRF Transferts</t>
        </is>
      </c>
      <c r="C72" s="27" t="inlineStr">
        <is>
          <t>EF-TRF-10</t>
        </is>
      </c>
      <c r="D72" s="27" t="inlineStr">
        <is>
          <t>Réception en plusieurs fois</t>
        </is>
      </c>
      <c r="E72" s="27" t="inlineStr">
        <is>
          <t>Vendeur boutique</t>
        </is>
      </c>
      <c r="F72" s="27" t="inlineStr">
        <is>
          <t>Un transfert expédié de 3 motos.</t>
        </is>
      </c>
      <c r="G72" s="27" t="inlineStr">
        <is>
          <t>1. Pointer et confirmer 1 moto sans cocher la clôture.
2. Revenir plus tard : pointer les 2 autres.
3. Repointer une moto déjà reçue.</t>
        </is>
      </c>
      <c r="H72" s="27" t="inlineStr">
        <is>
          <t>Le transfert reste « Expédié » avec « 1 / 3 » puis passe « Réceptionné ». Une moto déjà reçue est refusée (« déjà réceptionné »), jamais comptée deux fois. L'expéditeur est notifié de la fin.</t>
        </is>
      </c>
      <c r="I72" s="27" t="inlineStr">
        <is>
          <t>Fonctionnel</t>
        </is>
      </c>
      <c r="J72" s="28" t="inlineStr">
        <is>
          <t>S</t>
        </is>
      </c>
      <c r="K72" s="28" t="inlineStr">
        <is>
          <t>Livré</t>
        </is>
      </c>
      <c r="L72" s="27" t="inlineStr">
        <is>
          <t>TransfertsTest</t>
        </is>
      </c>
      <c r="M72" s="28" t="inlineStr">
        <is>
          <t>À tester</t>
        </is>
      </c>
      <c r="N72" s="28" t="n"/>
      <c r="O72" s="27" t="n"/>
      <c r="P72" s="27" t="n"/>
      <c r="Q72" s="27" t="n"/>
    </row>
    <row r="73" ht="43.59999999999999" customHeight="1">
      <c r="A73" s="37" t="inlineStr">
        <is>
          <t>TC-TRF-007</t>
        </is>
      </c>
      <c r="B73" s="38" t="inlineStr">
        <is>
          <t>TRF Transferts</t>
        </is>
      </c>
      <c r="C73" s="27" t="inlineStr">
        <is>
          <t>EF-TRF-07</t>
        </is>
      </c>
      <c r="D73" s="27" t="inlineStr">
        <is>
          <t>Annuler avant l'expédition, corriger ensuite par un transfert retour</t>
        </is>
      </c>
      <c r="E73" s="27" t="inlineStr">
        <is>
          <t>Magasinier</t>
        </is>
      </c>
      <c r="F73" s="27" t="inlineStr">
        <is>
          <t>Un transfert initié et un transfert expédié.</t>
        </is>
      </c>
      <c r="G73" s="27" t="inlineStr">
        <is>
          <t>1. Annuler le transfert initié (sans motif, puis avec).
2. Tenter d'annuler le transfert expédié.
3. Depuis le transfert expédié : « Transfert retour ».</t>
        </is>
      </c>
      <c r="H73" s="27" t="inlineStr">
        <is>
          <t>L'annulation exige un motif et libère les châssis. Après expédition elle est refusée avec l'indication de créer un transfert retour. Le retour préremplit le sens inverse et référence l'original.</t>
        </is>
      </c>
      <c r="I73" s="27" t="inlineStr">
        <is>
          <t>Règle de gestion</t>
        </is>
      </c>
      <c r="J73" s="28" t="inlineStr">
        <is>
          <t>M</t>
        </is>
      </c>
      <c r="K73" s="28" t="inlineStr">
        <is>
          <t>Livré</t>
        </is>
      </c>
      <c r="L73" s="27" t="inlineStr">
        <is>
          <t>TransfertsTest</t>
        </is>
      </c>
      <c r="M73" s="28" t="inlineStr">
        <is>
          <t>À tester</t>
        </is>
      </c>
      <c r="N73" s="28" t="n"/>
      <c r="O73" s="27" t="n"/>
      <c r="P73" s="27" t="n"/>
      <c r="Q73" s="27" t="n"/>
    </row>
    <row r="74" ht="83.19999999999999" customHeight="1">
      <c r="A74" s="37" t="inlineStr">
        <is>
          <t>TC-TRF-008</t>
        </is>
      </c>
      <c r="B74" s="38" t="inlineStr">
        <is>
          <t>TRF Transferts</t>
        </is>
      </c>
      <c r="C74" s="27" t="inlineStr">
        <is>
          <t>US-045, EF-TRF-08</t>
        </is>
      </c>
      <c r="D74" s="27" t="inlineStr">
        <is>
          <t>Alerte et anomalie pour transfert non réceptionné après le délai</t>
        </is>
      </c>
      <c r="E74" s="27" t="inlineStr">
        <is>
          <t>Contrôleur</t>
        </is>
      </c>
      <c r="F74" s="27" t="inlineStr">
        <is>
          <t>Paramètre « Délai de réception d'un transfert » = 5 jours ; un transfert expédié il y a plus de 5 jours (voir note).</t>
        </is>
      </c>
      <c r="G74" s="27" t="inlineStr">
        <is>
          <t>1. Attendre le contrôle quotidien de 7 h (ou faire exécuter le contrôle par l'équipe technique en recette).
2. Se connecter en contrôleur : notifications.
3. Ouvrir le transfert.
4. Relancer le contrôle.
5. Supprimer le paramètre : refaire.</t>
        </is>
      </c>
      <c r="H74" s="27" t="inlineStr">
        <is>
          <t>Le contrôleur reçoit une alerte, l'anomalie A12 est ouverte (une seule par transfert) et le transfert est marqué « En retard ». Une seconde exécution ne réalerte pas. Sans délai paramétré, aucun contrôle n'est appliqué.</t>
        </is>
      </c>
      <c r="I74" s="27" t="inlineStr">
        <is>
          <t>Fonctionnel</t>
        </is>
      </c>
      <c r="J74" s="28" t="inlineStr">
        <is>
          <t>M</t>
        </is>
      </c>
      <c r="K74" s="28" t="inlineStr">
        <is>
          <t>Livré</t>
        </is>
      </c>
      <c r="L74" s="27" t="inlineStr">
        <is>
          <t>TransfertsTest</t>
        </is>
      </c>
      <c r="M74" s="28" t="inlineStr">
        <is>
          <t>À tester</t>
        </is>
      </c>
      <c r="N74" s="28" t="n"/>
      <c r="O74" s="27" t="n"/>
      <c r="P74" s="27" t="n"/>
      <c r="Q74" s="27" t="n"/>
    </row>
    <row r="75" ht="43.59999999999999" customHeight="1">
      <c r="A75" s="37" t="inlineStr">
        <is>
          <t>TC-TRF-009</t>
        </is>
      </c>
      <c r="B75" s="38" t="inlineStr">
        <is>
          <t>TRF Transferts</t>
        </is>
      </c>
      <c r="C75" s="27" t="inlineStr">
        <is>
          <t>EF-TRF-09</t>
        </is>
      </c>
      <c r="D75" s="27" t="inlineStr">
        <is>
          <t>Listes « à expédier » chez la source et « à réceptionner » chez la destination</t>
        </is>
      </c>
      <c r="E75" s="27" t="inlineStr">
        <is>
          <t>Magasinier, Vendeur boutique</t>
        </is>
      </c>
      <c r="F75" s="27" t="inlineStr">
        <is>
          <t>Un transfert initié et un transfert expédié entre le magasin et la boutique.</t>
        </is>
      </c>
      <c r="G75" s="27" t="inlineStr">
        <is>
          <t>1. En magasinier : Transferts &gt; À expédier / À réceptionner.
2. En vendeur boutique : idem.</t>
        </is>
      </c>
      <c r="H75" s="27" t="inlineStr">
        <is>
          <t>Un transfert initié est « à expédier » chez la source seulement. Un transfert expédié est « à réceptionner » chez la destination seulement.</t>
        </is>
      </c>
      <c r="I75" s="27" t="inlineStr">
        <is>
          <t>Fonctionnel</t>
        </is>
      </c>
      <c r="J75" s="28" t="inlineStr">
        <is>
          <t>M</t>
        </is>
      </c>
      <c r="K75" s="28" t="inlineStr">
        <is>
          <t>Livré</t>
        </is>
      </c>
      <c r="L75" s="27" t="inlineStr">
        <is>
          <t>TransfertsTest</t>
        </is>
      </c>
      <c r="M75" s="28" t="inlineStr">
        <is>
          <t>À tester</t>
        </is>
      </c>
      <c r="N75" s="28" t="n"/>
      <c r="O75" s="27" t="n"/>
      <c r="P75" s="27" t="n"/>
      <c r="Q75" s="27" t="n"/>
    </row>
    <row r="76" ht="43.59999999999999" customHeight="1">
      <c r="A76" s="37" t="inlineStr">
        <is>
          <t>TC-TRF-010</t>
        </is>
      </c>
      <c r="B76" s="38" t="inlineStr">
        <is>
          <t>TRF Transferts</t>
        </is>
      </c>
      <c r="C76" s="27" t="inlineStr">
        <is>
          <t>EF-ADM-13, SRS 9.2</t>
        </is>
      </c>
      <c r="D76" s="27" t="inlineStr">
        <is>
          <t>Périmètre et droits des transferts</t>
        </is>
      </c>
      <c r="E76" s="27" t="inlineStr">
        <is>
          <t>Magasinier d'un autre site, Commercial</t>
        </is>
      </c>
      <c r="F76" s="27" t="inlineStr">
        <is>
          <t>Un transfert entre A et B.</t>
        </is>
      </c>
      <c r="G76" s="27" t="inlineStr">
        <is>
          <t>1. En compte du site C : ouvrir le transfert (écran et API).
2. En commercial : lister les transferts.
3. En boutique : tenter d'expédier.</t>
        </is>
      </c>
      <c r="H76" s="27" t="inlineStr">
        <is>
          <t>Transfert d'un autre site : introuvable. Commercial : 403. La boutique crée et réceptionne mais n'expédie pas (droit « valider » réservé au magasin).</t>
        </is>
      </c>
      <c r="I76" s="27" t="inlineStr">
        <is>
          <t>Droits et périmètre</t>
        </is>
      </c>
      <c r="J76" s="28" t="inlineStr">
        <is>
          <t>M</t>
        </is>
      </c>
      <c r="K76" s="28" t="inlineStr">
        <is>
          <t>Livré</t>
        </is>
      </c>
      <c r="L76" s="27" t="inlineStr">
        <is>
          <t>TransfertsTest</t>
        </is>
      </c>
      <c r="M76" s="28" t="inlineStr">
        <is>
          <t>À tester</t>
        </is>
      </c>
      <c r="N76" s="28" t="n"/>
      <c r="O76" s="27" t="n"/>
      <c r="P76" s="27" t="n"/>
      <c r="Q76" s="27" t="n"/>
    </row>
    <row r="77" ht="30.4" customHeight="1">
      <c r="A77" s="37" t="inlineStr">
        <is>
          <t>TC-TRF-011</t>
        </is>
      </c>
      <c r="B77" s="38" t="inlineStr">
        <is>
          <t>TRF Transferts</t>
        </is>
      </c>
      <c r="C77" s="27" t="inlineStr">
        <is>
          <t>EF-TRF-06</t>
        </is>
      </c>
      <c r="D77" s="27" t="inlineStr">
        <is>
          <t>Bon de transfert signé archivé</t>
        </is>
      </c>
      <c r="E77" s="27" t="inlineStr">
        <is>
          <t>Magasinier</t>
        </is>
      </c>
      <c r="F77" s="27" t="inlineStr">
        <is>
          <t>Un transfert expédié ; module Documents.</t>
        </is>
      </c>
      <c r="G77" s="27" t="inlineStr">
        <is>
          <t>1. Imprimer le bon, le faire signer, le scanner et le joindre au transfert.</t>
        </is>
      </c>
      <c r="H77" s="27" t="inlineStr">
        <is>
          <t>Le bon PDF est livré ; l'archivage du bon signé arrive avec le module Documents.</t>
        </is>
      </c>
      <c r="I77" s="27" t="inlineStr">
        <is>
          <t>Fonctionnel</t>
        </is>
      </c>
      <c r="J77" s="28" t="inlineStr">
        <is>
          <t>M</t>
        </is>
      </c>
      <c r="K77" s="28" t="inlineStr">
        <is>
          <t>Partiel</t>
        </is>
      </c>
      <c r="L77" s="27" t="inlineStr">
        <is>
          <t>TransfertsTest</t>
        </is>
      </c>
      <c r="M77" s="28" t="inlineStr">
        <is>
          <t>À tester</t>
        </is>
      </c>
      <c r="N77" s="28" t="n"/>
      <c r="O77" s="27" t="n"/>
      <c r="P77" s="27" t="n"/>
      <c r="Q77" s="27" t="n"/>
    </row>
    <row r="78" ht="70" customHeight="1">
      <c r="A78" s="39" t="inlineStr">
        <is>
          <t>TC-REP-001</t>
        </is>
      </c>
      <c r="B78" s="40" t="inlineStr">
        <is>
          <t>REP Reprise du stock</t>
        </is>
      </c>
      <c r="C78" s="27" t="inlineStr">
        <is>
          <t>US-006, SRS 14.2</t>
        </is>
      </c>
      <c r="D78" s="27" t="inlineStr">
        <is>
          <t>Importer le stock initial par châssis (simulation puis import réel)</t>
        </is>
      </c>
      <c r="E78" s="27" t="inlineStr">
        <is>
          <t>Administrateur</t>
        </is>
      </c>
      <c r="F78" s="27" t="inlineStr">
        <is>
          <t>Le modèle Excel téléchargé, rempli avec le jeu de données de l'onglet « Jeu de données import » ; magasin et boutiques créés ; modèles au catalogue.</t>
        </is>
      </c>
      <c r="G78" s="27" t="inlineStr">
        <is>
          <t>1. Stock &gt; Import du stock initial &gt; Télécharger le modèle.
2. Charger le fichier en simulation : lire le rapport.
3. Décocher « Simulation » et importer.
4. Lire le rapport, l'historique, le stock par emplacement.</t>
        </is>
      </c>
      <c r="H78" s="27" t="inlineStr">
        <is>
          <t>La simulation ne crée rien. L'import crée chaque moto à son emplacement (disponible ou bloquée), avec date d'entrée, coût et mouvement « Stock initial ». Les lignes fautives sont rejetées avec numéro de ligne et motif (voir l'onglet de données). Le rapport est conservé.</t>
        </is>
      </c>
      <c r="I78" s="27" t="inlineStr">
        <is>
          <t>Fonctionnel</t>
        </is>
      </c>
      <c r="J78" s="28" t="inlineStr">
        <is>
          <t>M</t>
        </is>
      </c>
      <c r="K78" s="28" t="inlineStr">
        <is>
          <t>Livré</t>
        </is>
      </c>
      <c r="L78" s="27" t="inlineStr">
        <is>
          <t>StockInitialTest</t>
        </is>
      </c>
      <c r="M78" s="28" t="inlineStr">
        <is>
          <t>À tester</t>
        </is>
      </c>
      <c r="N78" s="28" t="n"/>
      <c r="O78" s="27" t="n"/>
      <c r="P78" s="27" t="n"/>
      <c r="Q78" s="27" t="n"/>
    </row>
    <row r="79" ht="43.59999999999999" customHeight="1">
      <c r="A79" s="39" t="inlineStr">
        <is>
          <t>TC-REP-002</t>
        </is>
      </c>
      <c r="B79" s="40" t="inlineStr">
        <is>
          <t>REP Reprise du stock</t>
        </is>
      </c>
      <c r="C79" s="27" t="inlineStr">
        <is>
          <t>US-006</t>
        </is>
      </c>
      <c r="D79" s="27" t="inlineStr">
        <is>
          <t>Aucun châssis en double importé</t>
        </is>
      </c>
      <c r="E79" s="27" t="inlineStr">
        <is>
          <t>Administrateur</t>
        </is>
      </c>
      <c r="F79" s="27" t="inlineStr">
        <is>
          <t>Un import réel déjà effectué.</t>
        </is>
      </c>
      <c r="G79" s="27" t="inlineStr">
        <is>
          <t>1. Rejouer exactement le même fichier.
2. Importer un fichier contenant un numéro déjà présent à un autre emplacement.</t>
        </is>
      </c>
      <c r="H79" s="27" t="inlineStr">
        <is>
          <t>Aucune moto n'est recréée : chaque ligne est rejetée « déjà enregistré » avec l'emplacement actuel. Le nombre de châssis en base ne change pas.</t>
        </is>
      </c>
      <c r="I79" s="27" t="inlineStr">
        <is>
          <t>Règle de gestion</t>
        </is>
      </c>
      <c r="J79" s="28" t="inlineStr">
        <is>
          <t>M</t>
        </is>
      </c>
      <c r="K79" s="28" t="inlineStr">
        <is>
          <t>Livré</t>
        </is>
      </c>
      <c r="L79" s="27" t="inlineStr">
        <is>
          <t>StockInitialTest</t>
        </is>
      </c>
      <c r="M79" s="28" t="inlineStr">
        <is>
          <t>À tester</t>
        </is>
      </c>
      <c r="N79" s="28" t="n"/>
      <c r="O79" s="27" t="n"/>
      <c r="P79" s="27" t="n"/>
      <c r="Q79" s="27" t="n"/>
    </row>
    <row r="80" ht="43.59999999999999" customHeight="1">
      <c r="A80" s="39" t="inlineStr">
        <is>
          <t>TC-REP-003</t>
        </is>
      </c>
      <c r="B80" s="40" t="inlineStr">
        <is>
          <t>REP Reprise du stock</t>
        </is>
      </c>
      <c r="C80" s="27" t="inlineStr">
        <is>
          <t>US-006</t>
        </is>
      </c>
      <c r="D80" s="27" t="inlineStr">
        <is>
          <t>Import d'un vrai fichier Excel .xlsx de VITRACO</t>
        </is>
      </c>
      <c r="E80" s="27" t="inlineStr">
        <is>
          <t>Administrateur</t>
        </is>
      </c>
      <c r="F80" s="27" t="inlineStr">
        <is>
          <t>Le fichier d'inventaire d'ouverture de VITRACO (colonnes du modèle).</t>
        </is>
      </c>
      <c r="G80" s="27" t="inlineStr">
        <is>
          <t>1. Charger le fichier .xlsx en simulation puis pour de bon.
2. Vérifier 10 lignes au hasard contre la source.</t>
        </is>
      </c>
      <c r="H80" s="27" t="inlineStr">
        <is>
          <t>Les cellules numériques (coût, date) et textes sont lus correctement. Les lignes vides sont ignorées. Les lignes en erreur sont listées avec leur numéro de ligne dans le tableur.</t>
        </is>
      </c>
      <c r="I80" s="27" t="inlineStr">
        <is>
          <t>Fonctionnel</t>
        </is>
      </c>
      <c r="J80" s="28" t="inlineStr">
        <is>
          <t>M</t>
        </is>
      </c>
      <c r="K80" s="28" t="inlineStr">
        <is>
          <t>Livré</t>
        </is>
      </c>
      <c r="L80" s="27" t="inlineStr">
        <is>
          <t>StockInitialTest</t>
        </is>
      </c>
      <c r="M80" s="28" t="inlineStr">
        <is>
          <t>À tester</t>
        </is>
      </c>
      <c r="N80" s="28" t="n"/>
      <c r="O80" s="27" t="n"/>
      <c r="P80" s="27" t="n"/>
      <c r="Q80" s="27" t="n"/>
    </row>
    <row r="81" ht="43.59999999999999" customHeight="1">
      <c r="A81" s="39" t="inlineStr">
        <is>
          <t>TC-REP-004</t>
        </is>
      </c>
      <c r="B81" s="40" t="inlineStr">
        <is>
          <t>REP Reprise du stock</t>
        </is>
      </c>
      <c r="C81" s="27" t="inlineStr">
        <is>
          <t>US-006, droits</t>
        </is>
      </c>
      <c r="D81" s="27" t="inlineStr">
        <is>
          <t>Droit d'importer le stock initial</t>
        </is>
      </c>
      <c r="E81" s="27" t="inlineStr">
        <is>
          <t>Administrateur, Magasinier</t>
        </is>
      </c>
      <c r="F81" s="27" t="inlineStr">
        <is>
          <t>Un compte magasin et un compte administrateur.</t>
        </is>
      </c>
      <c r="G81" s="27" t="inlineStr">
        <is>
          <t>1. En magasinier : chercher l'entrée de menu, tenter l'appel d'import par l'API.
2. En administrateur : importer.</t>
        </is>
      </c>
      <c r="H81" s="27" t="inlineStr">
        <is>
          <t>L'entrée n'apparaît pas pour le magasin et l'API répond 403. Le droit « Importer le stock initial » est réservé à l'administrateur et à la Direction.</t>
        </is>
      </c>
      <c r="I81" s="27" t="inlineStr">
        <is>
          <t>Droits et périmètre</t>
        </is>
      </c>
      <c r="J81" s="28" t="inlineStr">
        <is>
          <t>M</t>
        </is>
      </c>
      <c r="K81" s="28" t="inlineStr">
        <is>
          <t>Livré</t>
        </is>
      </c>
      <c r="L81" s="27" t="inlineStr">
        <is>
          <t>StockInitialTest</t>
        </is>
      </c>
      <c r="M81" s="28" t="inlineStr">
        <is>
          <t>À tester</t>
        </is>
      </c>
      <c r="N81" s="28" t="n"/>
      <c r="O81" s="27" t="n"/>
      <c r="P81" s="27" t="n"/>
      <c r="Q81" s="27" t="n"/>
    </row>
    <row r="82" ht="70" customHeight="1">
      <c r="A82" s="39" t="inlineStr">
        <is>
          <t>TC-REP-005</t>
        </is>
      </c>
      <c r="B82" s="40" t="inlineStr">
        <is>
          <t>REP Reprise du stock</t>
        </is>
      </c>
      <c r="C82" s="27" t="inlineStr">
        <is>
          <t>SRS 14.2, EF-INV</t>
        </is>
      </c>
      <c r="D82" s="27" t="inlineStr">
        <is>
          <t>Pointage d'ouverture : rapprocher le stock importé du comptage physique d'un site</t>
        </is>
      </c>
      <c r="E82" s="27" t="inlineStr">
        <is>
          <t>Magasinier</t>
        </is>
      </c>
      <c r="F82" s="27" t="inlineStr">
        <is>
          <t>Stock initial importé pour le magasin ; liste des châssis réellement comptés.</t>
        </is>
      </c>
      <c r="G82" s="27" t="inlineStr">
        <is>
          <t>1. Stock &gt; Pointage d'ouverture : choisir le site.
2. Scanner ou coller les châssis comptés.
3. Comparer.
4. Corriger le comptage, comparer de nouveau.</t>
        </is>
      </c>
      <c r="H82" s="27" t="inlineStr">
        <is>
          <t>Le rapport donne conformes, manquants (au stock, non pointés) et inattendus (pointés mais enregistrés ailleurs ou inconnus). Un comptage exact donne « Écart nul » = stock d'ouverture validé pour ce site. Le pointage ne corrige rien et chaque rapport est conservé.</t>
        </is>
      </c>
      <c r="I82" s="27" t="inlineStr">
        <is>
          <t>Fonctionnel</t>
        </is>
      </c>
      <c r="J82" s="28" t="inlineStr">
        <is>
          <t>M</t>
        </is>
      </c>
      <c r="K82" s="28" t="inlineStr">
        <is>
          <t>Livré</t>
        </is>
      </c>
      <c r="L82" s="27" t="inlineStr">
        <is>
          <t>StockInitialTest</t>
        </is>
      </c>
      <c r="M82" s="28" t="inlineStr">
        <is>
          <t>À tester</t>
        </is>
      </c>
      <c r="N82" s="28" t="n"/>
      <c r="O82" s="27" t="n"/>
      <c r="P82" s="27" t="n"/>
      <c r="Q82" s="27" t="n"/>
    </row>
    <row r="83" ht="43.59999999999999" customHeight="1">
      <c r="A83" s="39" t="inlineStr">
        <is>
          <t>TC-REP-006</t>
        </is>
      </c>
      <c r="B83" s="40" t="inlineStr">
        <is>
          <t>REP Reprise du stock</t>
        </is>
      </c>
      <c r="C83" s="27" t="inlineStr">
        <is>
          <t>SRS 14.2</t>
        </is>
      </c>
      <c r="D83" s="27" t="inlineStr">
        <is>
          <t>Périmètre et droits du pointage</t>
        </is>
      </c>
      <c r="E83" s="27" t="inlineStr">
        <is>
          <t>Magasinier d'un autre site, lecture seule</t>
        </is>
      </c>
      <c r="F83" s="27" t="inlineStr">
        <is>
          <t>Un rapprochement réalisé sur le site A.</t>
        </is>
      </c>
      <c r="G83" s="27" t="inlineStr">
        <is>
          <t>1. En compte du site B : ouvrir le rapport du site A, lister les rapprochements, tenter de pointer le site A.
2. En compte sans « inventaires : créer » : tenter de pointer.</t>
        </is>
      </c>
      <c r="H83" s="27" t="inlineStr">
        <is>
          <t>Le rapport du site A est introuvable depuis B, la liste est vide, le pointage du site A est refusé (404). Sans le droit : 403.</t>
        </is>
      </c>
      <c r="I83" s="27" t="inlineStr">
        <is>
          <t>Droits et périmètre</t>
        </is>
      </c>
      <c r="J83" s="28" t="inlineStr">
        <is>
          <t>M</t>
        </is>
      </c>
      <c r="K83" s="28" t="inlineStr">
        <is>
          <t>Livré</t>
        </is>
      </c>
      <c r="L83" s="27" t="inlineStr">
        <is>
          <t>StockInitialTest</t>
        </is>
      </c>
      <c r="M83" s="28" t="inlineStr">
        <is>
          <t>À tester</t>
        </is>
      </c>
      <c r="N83" s="28" t="n"/>
      <c r="O83" s="27" t="n"/>
      <c r="P83" s="27" t="n"/>
      <c r="Q83" s="27" t="n"/>
    </row>
    <row r="84" ht="43.59999999999999" customHeight="1">
      <c r="A84" s="39" t="inlineStr">
        <is>
          <t>TC-REP-007</t>
        </is>
      </c>
      <c r="B84" s="40" t="inlineStr">
        <is>
          <t>REP Reprise du stock</t>
        </is>
      </c>
      <c r="C84" s="27" t="inlineStr">
        <is>
          <t>SRS 14.2</t>
        </is>
      </c>
      <c r="D84" s="27" t="inlineStr">
        <is>
          <t>Bascule site par site : magasin et boutique pilote d'abord</t>
        </is>
      </c>
      <c r="E84" s="27" t="inlineStr">
        <is>
          <t>Direction, Administrateur</t>
        </is>
      </c>
      <c r="F84" s="27" t="inlineStr">
        <is>
          <t>Données de reprise validées.</t>
        </is>
      </c>
      <c r="G84" s="27" t="inlineStr">
        <is>
          <t>1. Importer et rapprocher le magasin.
2. Importer et rapprocher la boutique pilote.
3. Deux semaines plus tard, la seconde boutique.</t>
        </is>
      </c>
      <c r="H84" s="27" t="inlineStr">
        <is>
          <t>Chaque site a un rapprochement à écart nul avant sa mise en service. Voir la checklist de l'onglet « Reprise des données ».</t>
        </is>
      </c>
      <c r="I84" s="27" t="inlineStr">
        <is>
          <t>Fonctionnel</t>
        </is>
      </c>
      <c r="J84" s="28" t="inlineStr">
        <is>
          <t>M</t>
        </is>
      </c>
      <c r="K84" s="28" t="inlineStr">
        <is>
          <t>Livré</t>
        </is>
      </c>
      <c r="L84" s="27" t="inlineStr"/>
      <c r="M84" s="28" t="inlineStr">
        <is>
          <t>À tester</t>
        </is>
      </c>
      <c r="N84" s="28" t="n"/>
      <c r="O84" s="27" t="n"/>
      <c r="P84" s="27" t="n"/>
      <c r="Q84" s="27" t="n"/>
    </row>
    <row r="85" ht="43.59999999999999" customHeight="1">
      <c r="A85" s="41" t="inlineStr">
        <is>
          <t>TC-TRV-001</t>
        </is>
      </c>
      <c r="B85" s="42" t="inlineStr">
        <is>
          <t>TRV Transverse</t>
        </is>
      </c>
      <c r="C85" s="27" t="inlineStr">
        <is>
          <t>RG-02, EF-CAT-04</t>
        </is>
      </c>
      <c r="D85" s="27" t="inlineStr">
        <is>
          <t>Un seul emplacement courant par châssis</t>
        </is>
      </c>
      <c r="E85" s="27" t="inlineStr">
        <is>
          <t>Administrateur technique</t>
        </is>
      </c>
      <c r="F85" s="27" t="inlineStr">
        <is>
          <t>Accès à la base de recette.</t>
        </is>
      </c>
      <c r="G85" s="27" t="inlineStr">
        <is>
          <t>1. Examiner le schéma : un champ emplacement unique par châssis.
2. Tenter en base de créer une moto disponible sans emplacement, ou une moto « en transit fournisseur » avec emplacement.</t>
        </is>
      </c>
      <c r="H85" s="27" t="inlineStr">
        <is>
          <t>Les contraintes de base refusent ces états. Aucune moto n'est disponible à deux endroits.</t>
        </is>
      </c>
      <c r="I85" s="27" t="inlineStr">
        <is>
          <t>Règle de gestion</t>
        </is>
      </c>
      <c r="J85" s="28" t="inlineStr">
        <is>
          <t>M</t>
        </is>
      </c>
      <c r="K85" s="28" t="inlineStr">
        <is>
          <t>Livré</t>
        </is>
      </c>
      <c r="L85" s="27" t="inlineStr">
        <is>
          <t>ChassisTest</t>
        </is>
      </c>
      <c r="M85" s="28" t="inlineStr">
        <is>
          <t>À tester</t>
        </is>
      </c>
      <c r="N85" s="28" t="n"/>
      <c r="O85" s="27" t="n"/>
      <c r="P85" s="27" t="n"/>
      <c r="Q85" s="27" t="n"/>
    </row>
    <row r="86" ht="70" customHeight="1">
      <c r="A86" s="41" t="inlineStr">
        <is>
          <t>TC-TRV-002</t>
        </is>
      </c>
      <c r="B86" s="42" t="inlineStr">
        <is>
          <t>TRV Transverse</t>
        </is>
      </c>
      <c r="C86" s="27" t="inlineStr">
        <is>
          <t>RG-18, US-155</t>
        </is>
      </c>
      <c r="D86" s="27" t="inlineStr">
        <is>
          <t>Aucune suppression des opérations sensibles</t>
        </is>
      </c>
      <c r="E86" s="27" t="inlineStr">
        <is>
          <t>Direction</t>
        </is>
      </c>
      <c r="F86" s="27" t="inlineStr">
        <is>
          <t>Une réception validée, un transfert expédié, des mouvements, un règlement (lot 2).</t>
        </is>
      </c>
      <c r="G86" s="27" t="inlineStr">
        <is>
          <t>1. Parcourir les écrans : chercher un bouton Supprimer.
2. Appeler DELETE sur les ressources (réceptions validées, transferts, mouvements, journal d'audit, prix).</t>
        </is>
      </c>
      <c r="H86" s="27" t="inlineStr">
        <is>
          <t>Aucun bouton Supprimer sur les opérations sensibles (seul le retrait d'un châssis d'un brouillon de réception est permis, sans effet sur le stock). Les appels de suppression sont refusés ; la correction passe par annulation (avant expédition), retour ou ajustement tracés.</t>
        </is>
      </c>
      <c r="I86" s="27" t="inlineStr">
        <is>
          <t>Règle de gestion</t>
        </is>
      </c>
      <c r="J86" s="28" t="inlineStr">
        <is>
          <t>M</t>
        </is>
      </c>
      <c r="K86" s="28" t="inlineStr">
        <is>
          <t>Livré</t>
        </is>
      </c>
      <c r="L86" s="27" t="inlineStr">
        <is>
          <t>StockTest, ChassisTest</t>
        </is>
      </c>
      <c r="M86" s="28" t="inlineStr">
        <is>
          <t>À tester</t>
        </is>
      </c>
      <c r="N86" s="28" t="n"/>
      <c r="O86" s="27" t="n"/>
      <c r="P86" s="27" t="n"/>
      <c r="Q86" s="27" t="n"/>
    </row>
    <row r="87" ht="56.8" customHeight="1">
      <c r="A87" s="41" t="inlineStr">
        <is>
          <t>TC-TRV-003</t>
        </is>
      </c>
      <c r="B87" s="42" t="inlineStr">
        <is>
          <t>TRV Transverse</t>
        </is>
      </c>
      <c r="C87" s="27" t="inlineStr">
        <is>
          <t>AUD-01, DoD</t>
        </is>
      </c>
      <c r="D87" s="27" t="inlineStr">
        <is>
          <t>Les opérations clés figurent au journal avec valeurs avant et après</t>
        </is>
      </c>
      <c r="E87" s="27" t="inlineStr">
        <is>
          <t>Équipe technique, Direction</t>
        </is>
      </c>
      <c r="F87" s="27" t="inlineStr">
        <is>
          <t>Avoir joué TC-REC-006, TC-TRF-003, TC-STK-004, TC-REP-001.</t>
        </is>
      </c>
      <c r="G87" s="27" t="inlineStr">
        <is>
          <t>1. Pour chaque opération, retrouver sa ligne dans la table journal_audit (ou l'activité récente du tableau de bord Administration).
2. Lire action, auteur, date, valeurs avant/après, motif.</t>
        </is>
      </c>
      <c r="H87" s="27" t="inlineStr">
        <is>
          <t>Chaque opération (réception validée, transfert expédié/réceptionné, blocage, import, rapprochement, annulation) a sa ligne complète.</t>
        </is>
      </c>
      <c r="I87" s="27" t="inlineStr">
        <is>
          <t>Audit et traçabilité</t>
        </is>
      </c>
      <c r="J87" s="28" t="inlineStr">
        <is>
          <t>M</t>
        </is>
      </c>
      <c r="K87" s="28" t="inlineStr">
        <is>
          <t>Partiel</t>
        </is>
      </c>
      <c r="L87" s="27" t="inlineStr">
        <is>
          <t>ReceptionsTest, TransfertsTest, StockTest, StockInitialTest</t>
        </is>
      </c>
      <c r="M87" s="28" t="inlineStr">
        <is>
          <t>À tester</t>
        </is>
      </c>
      <c r="N87" s="28" t="n"/>
      <c r="O87" s="27" t="n"/>
      <c r="P87" s="27" t="n"/>
      <c r="Q87" s="27" t="n"/>
    </row>
    <row r="88" ht="56.8" customHeight="1">
      <c r="A88" s="41" t="inlineStr">
        <is>
          <t>TC-TRV-004</t>
        </is>
      </c>
      <c r="B88" s="42" t="inlineStr">
        <is>
          <t>TRV Transverse</t>
        </is>
      </c>
      <c r="C88" s="27" t="inlineStr">
        <is>
          <t>SRS 10.9, ENF sécurité</t>
        </is>
      </c>
      <c r="D88" s="27" t="inlineStr">
        <is>
          <t>Protection de l'API : authentification, CSRF, droits par appel direct</t>
        </is>
      </c>
      <c r="E88" s="27" t="inlineStr">
        <is>
          <t>Testeur sécurité</t>
        </is>
      </c>
      <c r="F88" s="27" t="inlineStr">
        <is>
          <t>Un outil de test HTTP.</t>
        </is>
      </c>
      <c r="G88" s="27" t="inlineStr">
        <is>
          <t>1. Appeler les endpoints sans session (attendu 401).
2. Appeler une écriture avec session mais sans jeton CSRF.
3. Appeler avec une session de profil insuffisant (403).
4. Tenter une injection dans les champs de recherche.</t>
        </is>
      </c>
      <c r="H88" s="27" t="inlineStr">
        <is>
          <t>401 sans session, écriture refusée sans CSRF, 403 hors droit. Les recherches sont paramétrées (aucune injection). Les erreurs ne divulguent ni trace ni détail technique.</t>
        </is>
      </c>
      <c r="I88" s="27" t="inlineStr">
        <is>
          <t>Non fonctionnel</t>
        </is>
      </c>
      <c r="J88" s="28" t="inlineStr">
        <is>
          <t>M</t>
        </is>
      </c>
      <c r="K88" s="28" t="inlineStr">
        <is>
          <t>Livré</t>
        </is>
      </c>
      <c r="L88" s="27" t="inlineStr">
        <is>
          <t>SecuriteTest, GestionnaireErreursTest</t>
        </is>
      </c>
      <c r="M88" s="28" t="inlineStr">
        <is>
          <t>À tester</t>
        </is>
      </c>
      <c r="N88" s="28" t="n"/>
      <c r="O88" s="27" t="n"/>
      <c r="P88" s="27" t="n"/>
      <c r="Q88" s="27" t="n"/>
    </row>
    <row r="89" ht="56.8" customHeight="1">
      <c r="A89" s="41" t="inlineStr">
        <is>
          <t>TC-TRV-005</t>
        </is>
      </c>
      <c r="B89" s="42" t="inlineStr">
        <is>
          <t>TRV Transverse</t>
        </is>
      </c>
      <c r="C89" s="27" t="inlineStr">
        <is>
          <t>ENF-06, SRS 11</t>
        </is>
      </c>
      <c r="D89" s="27" t="inlineStr">
        <is>
          <t>Performance : stock et listes avec un volume réaliste</t>
        </is>
      </c>
      <c r="E89" s="27" t="inlineStr">
        <is>
          <t>Équipe technique</t>
        </is>
      </c>
      <c r="F89" s="27" t="inlineStr">
        <is>
          <t>Base chargée à 30 000 châssis et 15 emplacements (cible de dimensionnement H4).</t>
        </is>
      </c>
      <c r="G89" s="27" t="inlineStr">
        <is>
          <t>1. Charger des données de volume.
2. Mesurer le temps de réponse de : synthèse du stock, liste des châssis (page de 15), fiche châssis, journal des mouvements, import de 5 000 lignes.</t>
        </is>
      </c>
      <c r="H89" s="27" t="inlineStr">
        <is>
          <t>À mesurer : cible à confirmer avec VITRACO (objectif indicatif &lt; 2 s pour les écrans de consultation, &lt; 3 s pour la chaîne complète d'un châssis). Résultat à consigner dans le commentaire.</t>
        </is>
      </c>
      <c r="I89" s="27" t="inlineStr">
        <is>
          <t>Non fonctionnel</t>
        </is>
      </c>
      <c r="J89" s="28" t="inlineStr">
        <is>
          <t>M</t>
        </is>
      </c>
      <c r="K89" s="28" t="inlineStr">
        <is>
          <t>Livré</t>
        </is>
      </c>
      <c r="L89" s="27" t="inlineStr"/>
      <c r="M89" s="28" t="inlineStr">
        <is>
          <t>À tester</t>
        </is>
      </c>
      <c r="N89" s="28" t="n"/>
      <c r="O89" s="27" t="n"/>
      <c r="P89" s="27" t="n"/>
      <c r="Q89" s="27" t="n"/>
    </row>
    <row r="90" ht="56.8" customHeight="1">
      <c r="A90" s="41" t="inlineStr">
        <is>
          <t>TC-TRV-006</t>
        </is>
      </c>
      <c r="B90" s="42" t="inlineStr">
        <is>
          <t>TRV Transverse</t>
        </is>
      </c>
      <c r="C90" s="27" t="inlineStr">
        <is>
          <t>DoD, SRS 11</t>
        </is>
      </c>
      <c r="D90" s="27" t="inlineStr">
        <is>
          <t>Ergonomie : écran utilisable sur ordinateur et sur téléphone</t>
        </is>
      </c>
      <c r="E90" s="27" t="inlineStr">
        <is>
          <t>Magasinier</t>
        </is>
      </c>
      <c r="F90" s="27" t="inlineStr">
        <is>
          <t>Un ordinateur et un téléphone.</t>
        </is>
      </c>
      <c r="G90" s="27" t="inlineStr">
        <is>
          <t>1. Parcourir : stock, réception (scan), transfert (pointage), pointage d'ouverture, import.
2. Vérifier lisibilité, défilement horizontal, boutons accessibles au doigt.</t>
        </is>
      </c>
      <c r="H90" s="27" t="inlineStr">
        <is>
          <t>Aucun défilement horizontal de la page, champs de scan larges, tableaux défilables. Les textes sont en français.</t>
        </is>
      </c>
      <c r="I90" s="27" t="inlineStr">
        <is>
          <t>Non fonctionnel</t>
        </is>
      </c>
      <c r="J90" s="28" t="inlineStr">
        <is>
          <t>M</t>
        </is>
      </c>
      <c r="K90" s="28" t="inlineStr">
        <is>
          <t>Partiel</t>
        </is>
      </c>
      <c r="L90" s="27" t="inlineStr"/>
      <c r="M90" s="28" t="inlineStr">
        <is>
          <t>À tester</t>
        </is>
      </c>
      <c r="N90" s="28" t="n"/>
      <c r="O90" s="27" t="n"/>
      <c r="P90" s="27" t="n"/>
      <c r="Q90" s="27" t="n"/>
    </row>
    <row r="91" ht="30.4" customHeight="1">
      <c r="A91" s="41" t="inlineStr">
        <is>
          <t>TC-TRV-007</t>
        </is>
      </c>
      <c r="B91" s="42" t="inlineStr">
        <is>
          <t>TRV Transverse</t>
        </is>
      </c>
      <c r="C91" s="27" t="inlineStr">
        <is>
          <t>SRS 11</t>
        </is>
      </c>
      <c r="D91" s="27" t="inlineStr">
        <is>
          <t>Compatibilité navigateurs</t>
        </is>
      </c>
      <c r="E91" s="27" t="inlineStr">
        <is>
          <t>Testeur</t>
        </is>
      </c>
      <c r="F91" s="27" t="inlineStr">
        <is>
          <t>Chrome, Edge, Safari et Firefox récents.</t>
        </is>
      </c>
      <c r="G91" s="27" t="inlineStr">
        <is>
          <t>1. Rejouer TC-REC-002 et TC-TRF-004 sur chaque navigateur.</t>
        </is>
      </c>
      <c r="H91" s="27" t="inlineStr">
        <is>
          <t>Même comportement, mêmes résultats, aucune erreur console.</t>
        </is>
      </c>
      <c r="I91" s="27" t="inlineStr">
        <is>
          <t>Non fonctionnel</t>
        </is>
      </c>
      <c r="J91" s="28" t="inlineStr">
        <is>
          <t>S</t>
        </is>
      </c>
      <c r="K91" s="28" t="inlineStr">
        <is>
          <t>Livré</t>
        </is>
      </c>
      <c r="L91" s="27" t="inlineStr"/>
      <c r="M91" s="28" t="inlineStr">
        <is>
          <t>À tester</t>
        </is>
      </c>
      <c r="N91" s="28" t="n"/>
      <c r="O91" s="27" t="n"/>
      <c r="P91" s="27" t="n"/>
      <c r="Q91" s="27" t="n"/>
    </row>
    <row r="92" ht="56.8" customHeight="1">
      <c r="A92" s="41" t="inlineStr">
        <is>
          <t>TC-TRV-008</t>
        </is>
      </c>
      <c r="B92" s="42" t="inlineStr">
        <is>
          <t>TRV Transverse</t>
        </is>
      </c>
      <c r="C92" s="27" t="inlineStr">
        <is>
          <t>SRS 10.8</t>
        </is>
      </c>
      <c r="D92" s="27" t="inlineStr">
        <is>
          <t>Installation à partir d'une base vide : migrations</t>
        </is>
      </c>
      <c r="E92" s="27" t="inlineStr">
        <is>
          <t>Équipe technique</t>
        </is>
      </c>
      <c r="F92" s="27" t="inlineStr">
        <is>
          <t>Une base PostgreSQL vide.</t>
        </is>
      </c>
      <c r="G92" s="27" t="inlineStr">
        <is>
          <t>1. Démarrer l'application.
2. Vérifier l'application des migrations V1 à V14, le premier administrateur, les rôles et permissions par défaut, l'emplacement de transit.</t>
        </is>
      </c>
      <c r="H92" s="27" t="inlineStr">
        <is>
          <t>L'application démarre sans erreur, toutes les migrations passent, l'administrateur est amorcé, les 8 rôles livrés existent.</t>
        </is>
      </c>
      <c r="I92" s="27" t="inlineStr">
        <is>
          <t>Non fonctionnel</t>
        </is>
      </c>
      <c r="J92" s="28" t="inlineStr">
        <is>
          <t>M</t>
        </is>
      </c>
      <c r="K92" s="28" t="inlineStr">
        <is>
          <t>Livré</t>
        </is>
      </c>
      <c r="L92" s="27" t="inlineStr">
        <is>
          <t>VitracosarlApiApplicationTests</t>
        </is>
      </c>
      <c r="M92" s="28" t="inlineStr">
        <is>
          <t>À tester</t>
        </is>
      </c>
      <c r="N92" s="28" t="n"/>
      <c r="O92" s="27" t="n"/>
      <c r="P92" s="27" t="n"/>
      <c r="Q92" s="27" t="n"/>
    </row>
  </sheetData>
  <autoFilter ref="A4:Q92"/>
  <conditionalFormatting sqref="M5:M152">
    <cfRule type="cellIs" priority="1" operator="equal" dxfId="2">
      <formula>"Réussi"</formula>
    </cfRule>
    <cfRule type="cellIs" priority="2" operator="equal" dxfId="3">
      <formula>"Échec"</formula>
    </cfRule>
    <cfRule type="cellIs" priority="3" operator="equal" dxfId="4">
      <formula>"Bloqué"</formula>
    </cfRule>
    <cfRule type="cellIs" priority="4" operator="equal" dxfId="5">
      <formula>"Non livré"</formula>
    </cfRule>
    <cfRule type="cellIs" priority="5" operator="equal" dxfId="5">
      <formula>"Non applicable"</formula>
    </cfRule>
    <cfRule type="cellIs" priority="6" operator="equal" dxfId="6">
      <formula>"À tester"</formula>
    </cfRule>
  </conditionalFormatting>
  <conditionalFormatting sqref="K5:K152">
    <cfRule type="cellIs" priority="7" operator="equal" dxfId="7">
      <formula>"Livré"</formula>
    </cfRule>
    <cfRule type="cellIs" priority="8" operator="equal" dxfId="8">
      <formula>"Partiel"</formula>
    </cfRule>
    <cfRule type="cellIs" priority="9" operator="equal" dxfId="9">
      <formula>"À livrer"</formula>
    </cfRule>
  </conditionalFormatting>
  <dataValidations count="3">
    <dataValidation sqref="M5:M152" showDropDown="0" showInputMessage="0" showErrorMessage="0" allowBlank="0" errorTitle="Résultat" error="Choisir une valeur de la liste" type="list">
      <formula1>"À tester,Réussi,Échec,Bloqué,Non livré,Non applicable"</formula1>
    </dataValidation>
    <dataValidation sqref="J5:J152" showDropDown="0" showInputMessage="0" showErrorMessage="0" allowBlank="0" type="list">
      <formula1>"M,S,C"</formula1>
    </dataValidation>
    <dataValidation sqref="K5:K152" showDropDown="0" showInputMessage="0" showErrorMessage="0" allowBlank="0" type="list">
      <formula1>"Livré,Partiel,À livrer"</formula1>
    </dataValidation>
  </dataValidations>
  <pageMargins left="0.75" right="0.75" top="1" bottom="1" header="0.5" footer="0.5"/>
  <pageSetup orientation="landscape" fitToHeight="0" fitToWidth="1"/>
</worksheet>
</file>

<file path=xl/worksheets/sheet3.xml><?xml version="1.0" encoding="utf-8"?>
<worksheet xmlns="http://schemas.openxmlformats.org/spreadsheetml/2006/main">
  <sheetPr>
    <tabColor rgb="008EA9DB"/>
    <outlinePr summaryBelow="1" summaryRight="1"/>
    <pageSetUpPr fitToPage="1"/>
  </sheetPr>
  <dimension ref="A1:J43"/>
  <sheetViews>
    <sheetView showGridLines="0" workbookViewId="0">
      <pane ySplit="4" topLeftCell="A5" activePane="bottomLeft" state="frozen"/>
      <selection pane="bottomLeft" activeCell="A1" sqref="A1"/>
    </sheetView>
  </sheetViews>
  <sheetFormatPr baseColWidth="8" defaultRowHeight="15"/>
  <cols>
    <col width="12" customWidth="1" min="1" max="1"/>
    <col width="8" customWidth="1" min="2" max="2"/>
    <col width="54" customWidth="1" min="3" max="3"/>
    <col width="26" customWidth="1" min="4" max="4"/>
    <col width="56" customWidth="1" min="5" max="5"/>
    <col width="12" customWidth="1" min="6" max="6"/>
    <col width="14" customWidth="1" min="7" max="7"/>
    <col width="11" customWidth="1" min="8" max="8"/>
    <col width="14" customWidth="1" min="9" max="9"/>
    <col width="30" customWidth="1" min="10" max="10"/>
  </cols>
  <sheetData>
    <row r="1" ht="26" customHeight="1">
      <c r="A1" s="1" t="inlineStr">
        <is>
          <t>Scénarios de recette de bout en bout — Lot 1</t>
        </is>
      </c>
    </row>
    <row r="2">
      <c r="A2" s="2" t="inlineStr">
        <is>
          <t>Chaque scénario se joue dans l'ordre, avec des comptes distincts quand le profil change. Renseigner Résultat, Date, Testeur et la preuve (capture d'écran, n° de document).</t>
        </is>
      </c>
    </row>
    <row r="4" ht="32" customHeight="1">
      <c r="A4" s="24" t="inlineStr">
        <is>
          <t>Scénario</t>
        </is>
      </c>
      <c r="B4" s="24" t="inlineStr">
        <is>
          <t>Étape</t>
        </is>
      </c>
      <c r="C4" s="24" t="inlineStr">
        <is>
          <t>Action</t>
        </is>
      </c>
      <c r="D4" s="24" t="inlineStr">
        <is>
          <t>Profil</t>
        </is>
      </c>
      <c r="E4" s="24" t="inlineStr">
        <is>
          <t>Résultat attendu</t>
        </is>
      </c>
      <c r="F4" s="24" t="inlineStr">
        <is>
          <t>Réf. SRS</t>
        </is>
      </c>
      <c r="G4" s="24" t="inlineStr">
        <is>
          <t>Résultat</t>
        </is>
      </c>
      <c r="H4" s="24" t="inlineStr">
        <is>
          <t>Date</t>
        </is>
      </c>
      <c r="I4" s="24" t="inlineStr">
        <is>
          <t>Testeur</t>
        </is>
      </c>
      <c r="J4" s="24" t="inlineStr">
        <is>
          <t>Preuve / commentaire</t>
        </is>
      </c>
    </row>
    <row r="5" ht="22" customHeight="1">
      <c r="A5" s="43" t="inlineStr">
        <is>
          <t>RV1-01 · Reprise du stock d'un site : import puis pointage à écart nul (jalon V1)</t>
        </is>
      </c>
    </row>
    <row r="6" ht="30.4" customHeight="1">
      <c r="A6" s="44" t="inlineStr">
        <is>
          <t>RV1-01</t>
        </is>
      </c>
      <c r="B6" s="28" t="n">
        <v>1</v>
      </c>
      <c r="C6" s="27" t="inlineStr">
        <is>
          <t>Créer le magasin, la boutique pilote et vérifier les modèles au catalogue.</t>
        </is>
      </c>
      <c r="D6" s="27" t="inlineStr">
        <is>
          <t>Administrateur</t>
        </is>
      </c>
      <c r="E6" s="27" t="inlineStr">
        <is>
          <t>Emplacements et modèles disponibles, prix renseignés.</t>
        </is>
      </c>
      <c r="F6" s="27" t="inlineStr">
        <is>
          <t>SRS 14.2</t>
        </is>
      </c>
      <c r="G6" s="28" t="inlineStr">
        <is>
          <t>À faire</t>
        </is>
      </c>
      <c r="H6" s="28" t="n"/>
      <c r="I6" s="27" t="n"/>
      <c r="J6" s="27" t="n"/>
    </row>
    <row r="7" ht="30.4" customHeight="1">
      <c r="A7" s="44" t="inlineStr">
        <is>
          <t>RV1-01</t>
        </is>
      </c>
      <c r="B7" s="28" t="n">
        <v>2</v>
      </c>
      <c r="C7" s="27" t="inlineStr">
        <is>
          <t>Remplir le modèle Excel avec l'inventaire d'ouverture du magasin (≥ 50 motos) et lancer la simulation.</t>
        </is>
      </c>
      <c r="D7" s="27" t="inlineStr">
        <is>
          <t>Administrateur</t>
        </is>
      </c>
      <c r="E7" s="27" t="inlineStr">
        <is>
          <t>Rapport sans rien créer ; les lignes fautives sont listées avec leur motif.</t>
        </is>
      </c>
      <c r="F7" s="27" t="inlineStr">
        <is>
          <t>SRS 14.2</t>
        </is>
      </c>
      <c r="G7" s="28" t="inlineStr">
        <is>
          <t>À faire</t>
        </is>
      </c>
      <c r="H7" s="28" t="n"/>
      <c r="I7" s="27" t="n"/>
      <c r="J7" s="27" t="n"/>
    </row>
    <row r="8" ht="30.4" customHeight="1">
      <c r="A8" s="44" t="inlineStr">
        <is>
          <t>RV1-01</t>
        </is>
      </c>
      <c r="B8" s="28" t="n">
        <v>3</v>
      </c>
      <c r="C8" s="27" t="inlineStr">
        <is>
          <t>Corriger le fichier et importer pour de bon.</t>
        </is>
      </c>
      <c r="D8" s="27" t="inlineStr">
        <is>
          <t>Administrateur</t>
        </is>
      </c>
      <c r="E8" s="27" t="inlineStr">
        <is>
          <t>Toutes les motos sont au stock du magasin ; le rapport est conservé.</t>
        </is>
      </c>
      <c r="F8" s="27" t="inlineStr">
        <is>
          <t>SRS 14.2</t>
        </is>
      </c>
      <c r="G8" s="28" t="inlineStr">
        <is>
          <t>À faire</t>
        </is>
      </c>
      <c r="H8" s="28" t="n"/>
      <c r="I8" s="27" t="n"/>
      <c r="J8" s="27" t="n"/>
    </row>
    <row r="9" ht="18" customHeight="1">
      <c r="A9" s="44" t="inlineStr">
        <is>
          <t>RV1-01</t>
        </is>
      </c>
      <c r="B9" s="28" t="n">
        <v>4</v>
      </c>
      <c r="C9" s="27" t="inlineStr">
        <is>
          <t>Compter physiquement le magasin au scan et pointer.</t>
        </is>
      </c>
      <c r="D9" s="27" t="inlineStr">
        <is>
          <t>Magasinier</t>
        </is>
      </c>
      <c r="E9" s="27" t="inlineStr">
        <is>
          <t>Rapport de rapprochement : manquants et inattendus identifiés.</t>
        </is>
      </c>
      <c r="F9" s="27" t="inlineStr">
        <is>
          <t>SRS 14.2</t>
        </is>
      </c>
      <c r="G9" s="28" t="inlineStr">
        <is>
          <t>À faire</t>
        </is>
      </c>
      <c r="H9" s="28" t="n"/>
      <c r="I9" s="27" t="n"/>
      <c r="J9" s="27" t="n"/>
    </row>
    <row r="10" ht="30.4" customHeight="1">
      <c r="A10" s="44" t="inlineStr">
        <is>
          <t>RV1-01</t>
        </is>
      </c>
      <c r="B10" s="28" t="n">
        <v>5</v>
      </c>
      <c r="C10" s="27" t="inlineStr">
        <is>
          <t>Traiter les écarts (corriger le fichier ou le comptage) et pointer de nouveau.</t>
        </is>
      </c>
      <c r="D10" s="27" t="inlineStr">
        <is>
          <t>Magasinier</t>
        </is>
      </c>
      <c r="E10" s="27" t="inlineStr">
        <is>
          <t>Écart nul : stock d'ouverture validé pour le site.</t>
        </is>
      </c>
      <c r="F10" s="27" t="inlineStr">
        <is>
          <t>SRS 14.2</t>
        </is>
      </c>
      <c r="G10" s="28" t="inlineStr">
        <is>
          <t>À faire</t>
        </is>
      </c>
      <c r="H10" s="28" t="n"/>
      <c r="I10" s="27" t="n"/>
      <c r="J10" s="27" t="n"/>
    </row>
    <row r="11" ht="30.4" customHeight="1">
      <c r="A11" s="44" t="inlineStr">
        <is>
          <t>RV1-01</t>
        </is>
      </c>
      <c r="B11" s="28" t="n">
        <v>6</v>
      </c>
      <c r="C11" s="27" t="inlineStr">
        <is>
          <t>Répéter pour la boutique pilote puis pour la seconde boutique.</t>
        </is>
      </c>
      <c r="D11" s="27" t="inlineStr">
        <is>
          <t>Vendeur boutique</t>
        </is>
      </c>
      <c r="E11" s="27" t="inlineStr">
        <is>
          <t>Écart nul sur chacun des sites.</t>
        </is>
      </c>
      <c r="F11" s="27" t="inlineStr">
        <is>
          <t>SRS 14.2</t>
        </is>
      </c>
      <c r="G11" s="28" t="inlineStr">
        <is>
          <t>À faire</t>
        </is>
      </c>
      <c r="H11" s="28" t="n"/>
      <c r="I11" s="27" t="n"/>
      <c r="J11" s="27" t="n"/>
    </row>
    <row r="12" ht="22" customHeight="1">
      <c r="A12" s="43" t="inlineStr">
        <is>
          <t>RV1-02 · R1 (partie lot 1) : commande fournisseur, colisage, dédouanement, réception de 100 châssis</t>
        </is>
      </c>
    </row>
    <row r="13" ht="30.4" customHeight="1">
      <c r="A13" s="44" t="inlineStr">
        <is>
          <t>RV1-02</t>
        </is>
      </c>
      <c r="B13" s="28" t="n">
        <v>1</v>
      </c>
      <c r="C13" s="27" t="inlineStr">
        <is>
          <t>Créer une commande fournisseur de 100 motos (plusieurs modèles).</t>
        </is>
      </c>
      <c r="D13" s="27" t="inlineStr">
        <is>
          <t>Acheteur</t>
        </is>
      </c>
      <c r="E13" s="27" t="inlineStr">
        <is>
          <t>Statut COMMANDÉE, stock inchangé.</t>
        </is>
      </c>
      <c r="F13" s="27" t="inlineStr">
        <is>
          <t>R1 (partiel)</t>
        </is>
      </c>
      <c r="G13" s="28" t="inlineStr">
        <is>
          <t>À faire</t>
        </is>
      </c>
      <c r="H13" s="28" t="n"/>
      <c r="I13" s="27" t="n"/>
      <c r="J13" s="27" t="n"/>
    </row>
    <row r="14" ht="30.4" customHeight="1">
      <c r="A14" s="44" t="inlineStr">
        <is>
          <t>RV1-02</t>
        </is>
      </c>
      <c r="B14" s="28" t="n">
        <v>2</v>
      </c>
      <c r="C14" s="27" t="inlineStr">
        <is>
          <t>Confirmer, importer le colisage de 100 lignes, saisir arrivée, frais avec pièces.</t>
        </is>
      </c>
      <c r="D14" s="27" t="inlineStr">
        <is>
          <t>Acheteur</t>
        </is>
      </c>
      <c r="E14" s="27" t="inlineStr">
        <is>
          <t>100 châssis « En transit fournisseur » ; coût provisoire calculé ; frais sans pièce signalé.</t>
        </is>
      </c>
      <c r="F14" s="27" t="inlineStr">
        <is>
          <t>R1 (partiel)</t>
        </is>
      </c>
      <c r="G14" s="28" t="inlineStr">
        <is>
          <t>À faire</t>
        </is>
      </c>
      <c r="H14" s="28" t="n"/>
      <c r="I14" s="27" t="n"/>
      <c r="J14" s="27" t="n"/>
    </row>
    <row r="15" ht="30.4" customHeight="1">
      <c r="A15" s="44" t="inlineStr">
        <is>
          <t>RV1-02</t>
        </is>
      </c>
      <c r="B15" s="28" t="n">
        <v>3</v>
      </c>
      <c r="C15" s="27" t="inlineStr">
        <is>
          <t>Terminer le dédouanement de l'arrivage et avancer la commande.</t>
        </is>
      </c>
      <c r="D15" s="27" t="inlineStr">
        <is>
          <t>Acheteur</t>
        </is>
      </c>
      <c r="E15" s="27" t="inlineStr">
        <is>
          <t>Commande « À réceptionner » ; châssis « À réceptionner » ; magasin notifié.</t>
        </is>
      </c>
      <c r="F15" s="27" t="inlineStr">
        <is>
          <t>R1 (partiel)</t>
        </is>
      </c>
      <c r="G15" s="28" t="inlineStr">
        <is>
          <t>À faire</t>
        </is>
      </c>
      <c r="H15" s="28" t="n"/>
      <c r="I15" s="27" t="n"/>
      <c r="J15" s="27" t="n"/>
    </row>
    <row r="16" ht="18" customHeight="1">
      <c r="A16" s="44" t="inlineStr">
        <is>
          <t>RV1-02</t>
        </is>
      </c>
      <c r="B16" s="28" t="n">
        <v>4</v>
      </c>
      <c r="C16" s="27" t="inlineStr">
        <is>
          <t>Ouvrir la réception et scanner les 100 châssis.</t>
        </is>
      </c>
      <c r="D16" s="27" t="inlineStr">
        <is>
          <t>Magasinier</t>
        </is>
      </c>
      <c r="E16" s="27" t="inlineStr">
        <is>
          <t>Compteurs attendu/reçu/écart à jour sans scan perdu.</t>
        </is>
      </c>
      <c r="F16" s="27" t="inlineStr">
        <is>
          <t>R1 (partiel)</t>
        </is>
      </c>
      <c r="G16" s="28" t="inlineStr">
        <is>
          <t>À faire</t>
        </is>
      </c>
      <c r="H16" s="28" t="n"/>
      <c r="I16" s="27" t="n"/>
      <c r="J16" s="27" t="n"/>
    </row>
    <row r="17" ht="30.4" customHeight="1">
      <c r="A17" s="44" t="inlineStr">
        <is>
          <t>RV1-02</t>
        </is>
      </c>
      <c r="B17" s="28" t="n">
        <v>5</v>
      </c>
      <c r="C17" s="27" t="inlineStr">
        <is>
          <t>Valider la réception par un second utilisateur.</t>
        </is>
      </c>
      <c r="D17" s="27" t="inlineStr">
        <is>
          <t>Responsable magasin</t>
        </is>
      </c>
      <c r="E17" s="27" t="inlineStr">
        <is>
          <t>Stock physique du magasin +100, 100 disponibles, mouvements écrits, PV généré, commande « Réceptionnée ».</t>
        </is>
      </c>
      <c r="F17" s="27" t="inlineStr">
        <is>
          <t>R1 (partiel)</t>
        </is>
      </c>
      <c r="G17" s="28" t="inlineStr">
        <is>
          <t>À faire</t>
        </is>
      </c>
      <c r="H17" s="28" t="n"/>
      <c r="I17" s="27" t="n"/>
      <c r="J17" s="27" t="n"/>
    </row>
    <row r="18" ht="43.59999999999999" customHeight="1">
      <c r="A18" s="44" t="inlineStr">
        <is>
          <t>RV1-02</t>
        </is>
      </c>
      <c r="B18" s="28" t="n">
        <v>6</v>
      </c>
      <c r="C18" s="27" t="inlineStr">
        <is>
          <t>Contrôler le stock global et la fiche de 3 châssis.</t>
        </is>
      </c>
      <c r="D18" s="27" t="inlineStr">
        <is>
          <t>Direction</t>
        </is>
      </c>
      <c r="E18" s="27" t="inlineStr">
        <is>
          <t>100 physiques, 100 disponibles ; historiques complets. (La suite R1 — commande client, facture, livraison — se joue au lot 2.)</t>
        </is>
      </c>
      <c r="F18" s="27" t="inlineStr">
        <is>
          <t>R1 (partiel)</t>
        </is>
      </c>
      <c r="G18" s="28" t="inlineStr">
        <is>
          <t>À faire</t>
        </is>
      </c>
      <c r="H18" s="28" t="n"/>
      <c r="I18" s="27" t="n"/>
      <c r="J18" s="27" t="n"/>
    </row>
    <row r="19" ht="22" customHeight="1">
      <c r="A19" s="43" t="inlineStr">
        <is>
          <t>RV1-03 · R6 : transfert de 10 motos dont 9 reçues</t>
        </is>
      </c>
    </row>
    <row r="20" ht="18" customHeight="1">
      <c r="A20" s="44" t="inlineStr">
        <is>
          <t>RV1-03</t>
        </is>
      </c>
      <c r="B20" s="28" t="n">
        <v>1</v>
      </c>
      <c r="C20" s="27" t="inlineStr">
        <is>
          <t>Créer un transfert de 10 motos du magasin vers la boutique.</t>
        </is>
      </c>
      <c r="D20" s="27" t="inlineStr">
        <is>
          <t>Magasinier</t>
        </is>
      </c>
      <c r="E20" s="27" t="inlineStr">
        <is>
          <t>Transfert « Initié », stock inchangé.</t>
        </is>
      </c>
      <c r="F20" s="27" t="inlineStr">
        <is>
          <t>R6</t>
        </is>
      </c>
      <c r="G20" s="28" t="inlineStr">
        <is>
          <t>À faire</t>
        </is>
      </c>
      <c r="H20" s="28" t="n"/>
      <c r="I20" s="27" t="n"/>
      <c r="J20" s="27" t="n"/>
    </row>
    <row r="21" ht="30.4" customHeight="1">
      <c r="A21" s="44" t="inlineStr">
        <is>
          <t>RV1-03</t>
        </is>
      </c>
      <c r="B21" s="28" t="n">
        <v>2</v>
      </c>
      <c r="C21" s="27" t="inlineStr">
        <is>
          <t>Expédier le transfert et éditer le bon.</t>
        </is>
      </c>
      <c r="D21" s="27" t="inlineStr">
        <is>
          <t>Responsable magasin</t>
        </is>
      </c>
      <c r="E21" s="27" t="inlineStr">
        <is>
          <t>Stock source −10 ; 10 motos « En transit interne » ; bon PDF ; boutique notifiée.</t>
        </is>
      </c>
      <c r="F21" s="27" t="inlineStr">
        <is>
          <t>R6</t>
        </is>
      </c>
      <c r="G21" s="28" t="inlineStr">
        <is>
          <t>À faire</t>
        </is>
      </c>
      <c r="H21" s="28" t="n"/>
      <c r="I21" s="27" t="n"/>
      <c r="J21" s="27" t="n"/>
    </row>
    <row r="22" ht="18" customHeight="1">
      <c r="A22" s="44" t="inlineStr">
        <is>
          <t>RV1-03</t>
        </is>
      </c>
      <c r="B22" s="28" t="n">
        <v>3</v>
      </c>
      <c r="C22" s="27" t="inlineStr">
        <is>
          <t>Réceptionner par pointage 9 motos, clôturer avec écart.</t>
        </is>
      </c>
      <c r="D22" s="27" t="inlineStr">
        <is>
          <t>Vendeur boutique</t>
        </is>
      </c>
      <c r="E22" s="27" t="inlineStr">
        <is>
          <t>9 motos en stock à la destination ; 1 en transit interne.</t>
        </is>
      </c>
      <c r="F22" s="27" t="inlineStr">
        <is>
          <t>R6</t>
        </is>
      </c>
      <c r="G22" s="28" t="inlineStr">
        <is>
          <t>À faire</t>
        </is>
      </c>
      <c r="H22" s="28" t="n"/>
      <c r="I22" s="27" t="n"/>
      <c r="J22" s="27" t="n"/>
    </row>
    <row r="23" ht="30.4" customHeight="1">
      <c r="A23" s="44" t="inlineStr">
        <is>
          <t>RV1-03</t>
        </is>
      </c>
      <c r="B23" s="28" t="n">
        <v>4</v>
      </c>
      <c r="C23" s="27" t="inlineStr">
        <is>
          <t>Consulter l'anomalie et les notifications.</t>
        </is>
      </c>
      <c r="D23" s="27" t="inlineStr">
        <is>
          <t>Contrôleur</t>
        </is>
      </c>
      <c r="E23" s="27" t="inlineStr">
        <is>
          <t>Anomalie A12 ouverte avec le coût de la moto manquante ; alerte reçue.</t>
        </is>
      </c>
      <c r="F23" s="27" t="inlineStr">
        <is>
          <t>R6</t>
        </is>
      </c>
      <c r="G23" s="28" t="inlineStr">
        <is>
          <t>À faire</t>
        </is>
      </c>
      <c r="H23" s="28" t="n"/>
      <c r="I23" s="27" t="n"/>
      <c r="J23" s="27" t="n"/>
    </row>
    <row r="24" ht="30.4" customHeight="1">
      <c r="A24" s="44" t="inlineStr">
        <is>
          <t>RV1-03</t>
        </is>
      </c>
      <c r="B24" s="28" t="n">
        <v>5</v>
      </c>
      <c r="C24" s="27" t="inlineStr">
        <is>
          <t>Contrôler la fiche de la moto manquante et le stock global.</t>
        </is>
      </c>
      <c r="D24" s="27" t="inlineStr">
        <is>
          <t>Direction</t>
        </is>
      </c>
      <c r="E24" s="27" t="inlineStr">
        <is>
          <t>Moto « En transit interne » comptée une seule fois dans le global.</t>
        </is>
      </c>
      <c r="F24" s="27" t="inlineStr">
        <is>
          <t>R6</t>
        </is>
      </c>
      <c r="G24" s="28" t="inlineStr">
        <is>
          <t>À faire</t>
        </is>
      </c>
      <c r="H24" s="28" t="n"/>
      <c r="I24" s="27" t="n"/>
      <c r="J24" s="27" t="n"/>
    </row>
    <row r="25" ht="22" customHeight="1">
      <c r="A25" s="43" t="inlineStr">
        <is>
          <t>RV1-04 · R10 (partie lot 1) : contrôle des droits et du périmètre</t>
        </is>
      </c>
    </row>
    <row r="26" ht="30.4" customHeight="1">
      <c r="A26" s="44" t="inlineStr">
        <is>
          <t>RV1-04</t>
        </is>
      </c>
      <c r="B26" s="28" t="n">
        <v>1</v>
      </c>
      <c r="C26" s="27" t="inlineStr">
        <is>
          <t>Se connecter en commercial : ouvrir catalogue, stock, fiche châssis.</t>
        </is>
      </c>
      <c r="D26" s="27" t="inlineStr">
        <is>
          <t>Commercial</t>
        </is>
      </c>
      <c r="E26" s="27" t="inlineStr">
        <is>
          <t>Aucun coût de revient ni prix d'achat visible, ni sur l'écran ni par l'API.</t>
        </is>
      </c>
      <c r="F26" s="27" t="inlineStr">
        <is>
          <t>R10 (partiel)</t>
        </is>
      </c>
      <c r="G26" s="28" t="inlineStr">
        <is>
          <t>À faire</t>
        </is>
      </c>
      <c r="H26" s="28" t="n"/>
      <c r="I26" s="27" t="n"/>
      <c r="J26" s="27" t="n"/>
    </row>
    <row r="27" ht="30.4" customHeight="1">
      <c r="A27" s="44" t="inlineStr">
        <is>
          <t>RV1-04</t>
        </is>
      </c>
      <c r="B27" s="28" t="n">
        <v>2</v>
      </c>
      <c r="C27" s="27" t="inlineStr">
        <is>
          <t>Se connecter en magasinier d'un site : consulter le stock, un transfert, une réception d'un autre site.</t>
        </is>
      </c>
      <c r="D27" s="27" t="inlineStr">
        <is>
          <t>Magasinier</t>
        </is>
      </c>
      <c r="E27" s="27" t="inlineStr">
        <is>
          <t>Seul son périmètre est visible ; les objets d'un autre site sont introuvables.</t>
        </is>
      </c>
      <c r="F27" s="27" t="inlineStr">
        <is>
          <t>R10 (partiel)</t>
        </is>
      </c>
      <c r="G27" s="28" t="inlineStr">
        <is>
          <t>À faire</t>
        </is>
      </c>
      <c r="H27" s="28" t="n"/>
      <c r="I27" s="27" t="n"/>
      <c r="J27" s="27" t="n"/>
    </row>
    <row r="28" ht="30.4" customHeight="1">
      <c r="A28" s="44" t="inlineStr">
        <is>
          <t>RV1-04</t>
        </is>
      </c>
      <c r="B28" s="28" t="n">
        <v>3</v>
      </c>
      <c r="C28" s="27" t="inlineStr">
        <is>
          <t>Se connecter en contrôleur : tenter de modifier un stock, de valider une réception.</t>
        </is>
      </c>
      <c r="D28" s="27" t="inlineStr">
        <is>
          <t>Contrôleur</t>
        </is>
      </c>
      <c r="E28" s="27" t="inlineStr">
        <is>
          <t>Lecture seule sur ces modules ; blocage et corrections selon ses droits spécifiques.</t>
        </is>
      </c>
      <c r="F28" s="27" t="inlineStr">
        <is>
          <t>R10 (partiel)</t>
        </is>
      </c>
      <c r="G28" s="28" t="inlineStr">
        <is>
          <t>À faire</t>
        </is>
      </c>
      <c r="H28" s="28" t="n"/>
      <c r="I28" s="27" t="n"/>
      <c r="J28" s="27" t="n"/>
    </row>
    <row r="29" ht="30.4" customHeight="1">
      <c r="A29" s="44" t="inlineStr">
        <is>
          <t>RV1-04</t>
        </is>
      </c>
      <c r="B29" s="28" t="n">
        <v>4</v>
      </c>
      <c r="C29" s="27" t="inlineStr">
        <is>
          <t>Retirer un droit à un rôle et refaire l'action par un appel direct à l'API.</t>
        </is>
      </c>
      <c r="D29" s="27" t="inlineStr">
        <is>
          <t>Administrateur</t>
        </is>
      </c>
      <c r="E29" s="27" t="inlineStr">
        <is>
          <t>Refus 403 ; modification tracée ; Direction notifiée.</t>
        </is>
      </c>
      <c r="F29" s="27" t="inlineStr">
        <is>
          <t>R10 (partiel)</t>
        </is>
      </c>
      <c r="G29" s="28" t="inlineStr">
        <is>
          <t>À faire</t>
        </is>
      </c>
      <c r="H29" s="28" t="n"/>
      <c r="I29" s="27" t="n"/>
      <c r="J29" s="27" t="n"/>
    </row>
    <row r="30" ht="22" customHeight="1">
      <c r="A30" s="43" t="inlineStr">
        <is>
          <t>RV1-05 · Réception en plusieurs fois, avec moto endommagée et moto non annoncée</t>
        </is>
      </c>
    </row>
    <row r="31" ht="30.4" customHeight="1">
      <c r="A31" s="44" t="inlineStr">
        <is>
          <t>RV1-05</t>
        </is>
      </c>
      <c r="B31" s="28" t="n">
        <v>1</v>
      </c>
      <c r="C31" s="27" t="inlineStr">
        <is>
          <t>Ouvrir une réception d'un arrivage de 5 motos annoncées ; scanner 3 conformes, 1 endommagée, 1 non annoncée.</t>
        </is>
      </c>
      <c r="D31" s="27" t="inlineStr">
        <is>
          <t>Magasinier</t>
        </is>
      </c>
      <c r="E31" s="27" t="inlineStr">
        <is>
          <t>Messages de contrôle à chaque cas ; justification et description exigées.</t>
        </is>
      </c>
      <c r="F31" s="27" t="inlineStr">
        <is>
          <t>REC, STK</t>
        </is>
      </c>
      <c r="G31" s="28" t="inlineStr">
        <is>
          <t>À faire</t>
        </is>
      </c>
      <c r="H31" s="28" t="n"/>
      <c r="I31" s="27" t="n"/>
      <c r="J31" s="27" t="n"/>
    </row>
    <row r="32" ht="30.4" customHeight="1">
      <c r="A32" s="44" t="inlineStr">
        <is>
          <t>RV1-05</t>
        </is>
      </c>
      <c r="B32" s="28" t="n">
        <v>2</v>
      </c>
      <c r="C32" s="27" t="inlineStr">
        <is>
          <t>Valider par un second utilisateur.</t>
        </is>
      </c>
      <c r="D32" s="27" t="inlineStr">
        <is>
          <t>Responsable magasin</t>
        </is>
      </c>
      <c r="E32" s="27" t="inlineStr">
        <is>
          <t>2 disponibles, 1 bloquée, 1 inattendue disponible ; commande « Réception partielle » avec reliquat ; contrôleur notifié.</t>
        </is>
      </c>
      <c r="F32" s="27" t="inlineStr">
        <is>
          <t>REC, STK</t>
        </is>
      </c>
      <c r="G32" s="28" t="inlineStr">
        <is>
          <t>À faire</t>
        </is>
      </c>
      <c r="H32" s="28" t="n"/>
      <c r="I32" s="27" t="n"/>
      <c r="J32" s="27" t="n"/>
    </row>
    <row r="33" ht="30.4" customHeight="1">
      <c r="A33" s="44" t="inlineStr">
        <is>
          <t>RV1-05</t>
        </is>
      </c>
      <c r="B33" s="28" t="n">
        <v>3</v>
      </c>
      <c r="C33" s="27" t="inlineStr">
        <is>
          <t>Recevoir le reliquat dans une seconde réception.</t>
        </is>
      </c>
      <c r="D33" s="27" t="inlineStr">
        <is>
          <t>Magasinier</t>
        </is>
      </c>
      <c r="E33" s="27" t="inlineStr">
        <is>
          <t>Commande « Réceptionnée » quand tout est reçu ; deux PV distincts.</t>
        </is>
      </c>
      <c r="F33" s="27" t="inlineStr">
        <is>
          <t>REC, STK</t>
        </is>
      </c>
      <c r="G33" s="28" t="inlineStr">
        <is>
          <t>À faire</t>
        </is>
      </c>
      <c r="H33" s="28" t="n"/>
      <c r="I33" s="27" t="n"/>
      <c r="J33" s="27" t="n"/>
    </row>
    <row r="34" ht="18" customHeight="1">
      <c r="A34" s="44" t="inlineStr">
        <is>
          <t>RV1-05</t>
        </is>
      </c>
      <c r="B34" s="28" t="n">
        <v>4</v>
      </c>
      <c r="C34" s="27" t="inlineStr">
        <is>
          <t>Bloquer puis débloquer une moto en litige.</t>
        </is>
      </c>
      <c r="D34" s="27" t="inlineStr">
        <is>
          <t>Responsable magasin</t>
        </is>
      </c>
      <c r="E34" s="27" t="inlineStr">
        <is>
          <t>Motif et pièce exigés ; historique de la fiche à jour.</t>
        </is>
      </c>
      <c r="F34" s="27" t="inlineStr">
        <is>
          <t>REC, STK</t>
        </is>
      </c>
      <c r="G34" s="28" t="inlineStr">
        <is>
          <t>À faire</t>
        </is>
      </c>
      <c r="H34" s="28" t="n"/>
      <c r="I34" s="27" t="n"/>
      <c r="J34" s="27" t="n"/>
    </row>
    <row r="35" ht="22" customHeight="1">
      <c r="A35" s="43" t="inlineStr">
        <is>
          <t>RV1-06 · Correction d'un numéro de châssis et traçabilité complète d'une moto</t>
        </is>
      </c>
    </row>
    <row r="36" ht="30.4" customHeight="1">
      <c r="A36" s="44" t="inlineStr">
        <is>
          <t>RV1-06</t>
        </is>
      </c>
      <c r="B36" s="28" t="n">
        <v>1</v>
      </c>
      <c r="C36" s="27" t="inlineStr">
        <is>
          <t>Demander la correction d'un numéro mal saisi.</t>
        </is>
      </c>
      <c r="D36" s="27" t="inlineStr">
        <is>
          <t>Responsable magasin</t>
        </is>
      </c>
      <c r="E36" s="27" t="inlineStr">
        <is>
          <t>Demande « en attente ».</t>
        </is>
      </c>
      <c r="F36" s="27" t="inlineStr">
        <is>
          <t>US-013, US-012</t>
        </is>
      </c>
      <c r="G36" s="28" t="inlineStr">
        <is>
          <t>À faire</t>
        </is>
      </c>
      <c r="H36" s="28" t="n"/>
      <c r="I36" s="27" t="n"/>
      <c r="J36" s="27" t="n"/>
    </row>
    <row r="37" ht="30.4" customHeight="1">
      <c r="A37" s="44" t="inlineStr">
        <is>
          <t>RV1-06</t>
        </is>
      </c>
      <c r="B37" s="28" t="n">
        <v>2</v>
      </c>
      <c r="C37" s="27" t="inlineStr">
        <is>
          <t>Tenter de la valider avec le même compte puis avec un collègue.</t>
        </is>
      </c>
      <c r="D37" s="27" t="inlineStr">
        <is>
          <t>Responsable magasin, Magasinier</t>
        </is>
      </c>
      <c r="E37" s="27" t="inlineStr">
        <is>
          <t>Refus puis validation ; l'ancien numéro reste trouvable.</t>
        </is>
      </c>
      <c r="F37" s="27" t="inlineStr">
        <is>
          <t>US-013, US-012</t>
        </is>
      </c>
      <c r="G37" s="28" t="inlineStr">
        <is>
          <t>À faire</t>
        </is>
      </c>
      <c r="H37" s="28" t="n"/>
      <c r="I37" s="27" t="n"/>
      <c r="J37" s="27" t="n"/>
    </row>
    <row r="38" ht="30.4" customHeight="1">
      <c r="A38" s="44" t="inlineStr">
        <is>
          <t>RV1-06</t>
        </is>
      </c>
      <c r="B38" s="28" t="n">
        <v>3</v>
      </c>
      <c r="C38" s="27" t="inlineStr">
        <is>
          <t>Ouvrir la fiche : lire l'histoire depuis la création à la réception puis au transfert.</t>
        </is>
      </c>
      <c r="D38" s="27" t="inlineStr">
        <is>
          <t>Direction</t>
        </is>
      </c>
      <c r="E38" s="27" t="inlineStr">
        <is>
          <t>Chaque événement daté, avec auteur et statuts avant/après.</t>
        </is>
      </c>
      <c r="F38" s="27" t="inlineStr">
        <is>
          <t>US-013, US-012</t>
        </is>
      </c>
      <c r="G38" s="28" t="inlineStr">
        <is>
          <t>À faire</t>
        </is>
      </c>
      <c r="H38" s="28" t="n"/>
      <c r="I38" s="27" t="n"/>
      <c r="J38" s="27" t="n"/>
    </row>
    <row r="39" ht="30.4" customHeight="1">
      <c r="A39" s="44" t="inlineStr">
        <is>
          <t>RV1-06</t>
        </is>
      </c>
      <c r="B39" s="28" t="n">
        <v>4</v>
      </c>
      <c r="C39" s="27" t="inlineStr">
        <is>
          <t>Rechercher la moto par l'ancien numéro.</t>
        </is>
      </c>
      <c r="D39" s="27" t="inlineStr">
        <is>
          <t>Magasinier</t>
        </is>
      </c>
      <c r="E39" s="27" t="inlineStr">
        <is>
          <t>La fiche s'ouvre ; l'ancien numéro est signalé.</t>
        </is>
      </c>
      <c r="F39" s="27" t="inlineStr">
        <is>
          <t>US-013, US-012</t>
        </is>
      </c>
      <c r="G39" s="28" t="inlineStr">
        <is>
          <t>À faire</t>
        </is>
      </c>
      <c r="H39" s="28" t="n"/>
      <c r="I39" s="27" t="n"/>
      <c r="J39" s="27" t="n"/>
    </row>
    <row r="40" ht="22" customHeight="1">
      <c r="A40" s="43" t="inlineStr">
        <is>
          <t>RV1-07 · Séparation des tâches et non-suppression</t>
        </is>
      </c>
    </row>
    <row r="41" ht="30.4" customHeight="1">
      <c r="A41" s="44" t="inlineStr">
        <is>
          <t>RV1-07</t>
        </is>
      </c>
      <c r="B41" s="28" t="n">
        <v>1</v>
      </c>
      <c r="C41" s="27" t="inlineStr">
        <is>
          <t>Même utilisateur : ouvrir et valider une réception ; expédier et réceptionner un transfert.</t>
        </is>
      </c>
      <c r="D41" s="27" t="inlineStr">
        <is>
          <t>Magasinier</t>
        </is>
      </c>
      <c r="E41" s="27" t="inlineStr">
        <is>
          <t>Refus dans les deux cas (paramètres à Oui).</t>
        </is>
      </c>
      <c r="F41" s="27" t="inlineStr">
        <is>
          <t>RG-18, RG-19</t>
        </is>
      </c>
      <c r="G41" s="28" t="inlineStr">
        <is>
          <t>À faire</t>
        </is>
      </c>
      <c r="H41" s="28" t="n"/>
      <c r="I41" s="27" t="n"/>
      <c r="J41" s="27" t="n"/>
    </row>
    <row r="42" ht="30.4" customHeight="1">
      <c r="A42" s="44" t="inlineStr">
        <is>
          <t>RV1-07</t>
        </is>
      </c>
      <c r="B42" s="28" t="n">
        <v>2</v>
      </c>
      <c r="C42" s="27" t="inlineStr">
        <is>
          <t>Passer les deux paramètres à Non et rejouer.</t>
        </is>
      </c>
      <c r="D42" s="27" t="inlineStr">
        <is>
          <t>Administrateur</t>
        </is>
      </c>
      <c r="E42" s="27" t="inlineStr">
        <is>
          <t>Les opérations passent ; changement de paramètre historisé ; remettre Oui.</t>
        </is>
      </c>
      <c r="F42" s="27" t="inlineStr">
        <is>
          <t>RG-18, RG-19</t>
        </is>
      </c>
      <c r="G42" s="28" t="inlineStr">
        <is>
          <t>À faire</t>
        </is>
      </c>
      <c r="H42" s="28" t="n"/>
      <c r="I42" s="27" t="n"/>
      <c r="J42" s="27" t="n"/>
    </row>
    <row r="43" ht="30.4" customHeight="1">
      <c r="A43" s="44" t="inlineStr">
        <is>
          <t>RV1-07</t>
        </is>
      </c>
      <c r="B43" s="28" t="n">
        <v>3</v>
      </c>
      <c r="C43" s="27" t="inlineStr">
        <is>
          <t>Tenter de supprimer réception validée, transfert, mouvement, journal par l'API.</t>
        </is>
      </c>
      <c r="D43" s="27" t="inlineStr">
        <is>
          <t>Direction</t>
        </is>
      </c>
      <c r="E43" s="27" t="inlineStr">
        <is>
          <t>Refus ; aucune suppression possible ; annulation/retour tracés.</t>
        </is>
      </c>
      <c r="F43" s="27" t="inlineStr">
        <is>
          <t>RG-18, RG-19</t>
        </is>
      </c>
      <c r="G43" s="28" t="inlineStr">
        <is>
          <t>À faire</t>
        </is>
      </c>
      <c r="H43" s="28" t="n"/>
      <c r="I43" s="27" t="n"/>
      <c r="J43" s="27" t="n"/>
    </row>
  </sheetData>
  <mergeCells count="7">
    <mergeCell ref="A5:J5"/>
    <mergeCell ref="A40:J40"/>
    <mergeCell ref="A30:J30"/>
    <mergeCell ref="A12:J12"/>
    <mergeCell ref="A35:J35"/>
    <mergeCell ref="A25:J25"/>
    <mergeCell ref="A19:J19"/>
  </mergeCells>
  <conditionalFormatting sqref="G5:G83">
    <cfRule type="cellIs" priority="1" operator="equal" dxfId="2">
      <formula>"Réussi"</formula>
    </cfRule>
    <cfRule type="cellIs" priority="2" operator="equal" dxfId="3">
      <formula>"Échec"</formula>
    </cfRule>
    <cfRule type="cellIs" priority="3" operator="equal" dxfId="4">
      <formula>"Bloqué"</formula>
    </cfRule>
    <cfRule type="cellIs" priority="4" operator="equal" dxfId="5">
      <formula>"Non applicable"</formula>
    </cfRule>
  </conditionalFormatting>
  <dataValidations count="1">
    <dataValidation sqref="G5:G83" showDropDown="0" showInputMessage="0" showErrorMessage="0" allowBlank="0" type="list">
      <formula1>"À faire,Réussi,Échec,Bloqué,Non applicable"</formula1>
    </dataValidation>
  </dataValidations>
  <pageMargins left="0.75" right="0.75" top="1" bottom="1" header="0.5" footer="0.5"/>
  <pageSetup orientation="landscape" fitToHeight="0" fitToWidth="1"/>
</worksheet>
</file>

<file path=xl/worksheets/sheet4.xml><?xml version="1.0" encoding="utf-8"?>
<worksheet xmlns="http://schemas.openxmlformats.org/spreadsheetml/2006/main">
  <sheetPr>
    <tabColor rgb="008EA9DB"/>
    <outlinePr summaryBelow="1" summaryRight="1"/>
    <pageSetUpPr/>
  </sheetPr>
  <dimension ref="A1:I21"/>
  <sheetViews>
    <sheetView showGridLines="0" workbookViewId="0">
      <pane ySplit="4" topLeftCell="A5" activePane="bottomLeft" state="frozen"/>
      <selection pane="bottomLeft" activeCell="A1" sqref="A1"/>
    </sheetView>
  </sheetViews>
  <sheetFormatPr baseColWidth="8" defaultRowHeight="15"/>
  <cols>
    <col width="28" customWidth="1" min="1" max="1"/>
    <col width="30" customWidth="1" min="2" max="2"/>
    <col width="36" customWidth="1" min="3" max="3"/>
    <col width="34" customWidth="1" min="4" max="4"/>
    <col width="22" customWidth="1" min="5" max="5"/>
    <col width="40" customWidth="1" min="6" max="6"/>
    <col width="14" customWidth="1" min="7" max="7"/>
    <col width="14" customWidth="1" min="8" max="8"/>
    <col width="18" customWidth="1" min="9" max="9"/>
  </cols>
  <sheetData>
    <row r="1" ht="26" customHeight="1">
      <c r="A1" s="1" t="inlineStr">
        <is>
          <t>Reprise des données — Lot 1</t>
        </is>
      </c>
    </row>
    <row r="2">
      <c r="A2" s="2" t="inlineStr">
        <is>
          <t>Source : SRS 14.2. La bascule se fait site par site : le magasin et une boutique pilote d'abord, la seconde boutique deux semaines plus tard.</t>
        </is>
      </c>
    </row>
    <row r="4" ht="32" customHeight="1">
      <c r="A4" s="24" t="inlineStr">
        <is>
          <t>Donnée</t>
        </is>
      </c>
      <c r="B4" s="24" t="inlineStr">
        <is>
          <t>Source</t>
        </is>
      </c>
      <c r="C4" s="24" t="inlineStr">
        <is>
          <t>Méthode</t>
        </is>
      </c>
      <c r="D4" s="24" t="inlineStr">
        <is>
          <t>Contrôle de validation</t>
        </is>
      </c>
      <c r="E4" s="24" t="inlineStr">
        <is>
          <t>Responsable</t>
        </is>
      </c>
      <c r="F4" s="24" t="inlineStr">
        <is>
          <t>Outil livré / remarque</t>
        </is>
      </c>
      <c r="G4" s="24" t="inlineStr">
        <is>
          <t>Statut</t>
        </is>
      </c>
      <c r="H4" s="24" t="inlineStr">
        <is>
          <t>Date de validation</t>
        </is>
      </c>
      <c r="I4" s="24" t="inlineStr">
        <is>
          <t>Validé par</t>
        </is>
      </c>
    </row>
    <row r="5" ht="43.59999999999999" customHeight="1">
      <c r="A5" s="44" t="inlineStr">
        <is>
          <t>Modèles et prix</t>
        </is>
      </c>
      <c r="B5" s="27" t="inlineStr">
        <is>
          <t>Fichiers commerciaux</t>
        </is>
      </c>
      <c r="C5" s="27" t="inlineStr">
        <is>
          <t>Import Excel (saisie à l'écran en attendant)</t>
        </is>
      </c>
      <c r="D5" s="27" t="inlineStr">
        <is>
          <t>Relecture par le responsable commercial</t>
        </is>
      </c>
      <c r="E5" s="27" t="inlineStr">
        <is>
          <t>Responsable commercial</t>
        </is>
      </c>
      <c r="F5" s="27" t="inlineStr">
        <is>
          <t>Les modèles se créent un à un à l'écran dans ce lot ; l'import en masse des modèles n'est pas livré.</t>
        </is>
      </c>
      <c r="G5" s="28" t="inlineStr">
        <is>
          <t>À faire</t>
        </is>
      </c>
      <c r="H5" s="28" t="n"/>
      <c r="I5" s="27" t="n"/>
    </row>
    <row r="6" ht="43.59999999999999" customHeight="1">
      <c r="A6" s="44" t="inlineStr">
        <is>
          <t>Stock par châssis</t>
        </is>
      </c>
      <c r="B6" s="27" t="inlineStr">
        <is>
          <t>Inventaire physique d'ouverture, par scan</t>
        </is>
      </c>
      <c r="C6" s="27" t="inlineStr">
        <is>
          <t>Import Excel (Stock &gt; Import du stock initial) puis pointage</t>
        </is>
      </c>
      <c r="D6" s="27" t="inlineStr">
        <is>
          <t>Écart nul par site entre l'import et le comptage</t>
        </is>
      </c>
      <c r="E6" s="27" t="inlineStr">
        <is>
          <t>Magasinier + Administrateur</t>
        </is>
      </c>
      <c r="F6" s="27" t="inlineStr">
        <is>
          <t>Outils livrés : import avec simulation et rapport, pointage d'ouverture avec rapport conservé.</t>
        </is>
      </c>
      <c r="G6" s="28" t="inlineStr">
        <is>
          <t>À faire</t>
        </is>
      </c>
      <c r="H6" s="28" t="n"/>
      <c r="I6" s="27" t="n"/>
    </row>
    <row r="7" ht="43.59999999999999" customHeight="1">
      <c r="A7" s="44" t="inlineStr">
        <is>
          <t>Arrivages en cours</t>
        </is>
      </c>
      <c r="B7" s="27" t="inlineStr">
        <is>
          <t>Dossiers d'importation</t>
        </is>
      </c>
      <c r="C7" s="27" t="inlineStr">
        <is>
          <t>Saisie (commandes, arrivages, colisage)</t>
        </is>
      </c>
      <c r="D7" s="27" t="inlineStr">
        <is>
          <t>Relecture par la Direction</t>
        </is>
      </c>
      <c r="E7" s="27" t="inlineStr">
        <is>
          <t>Acheteur</t>
        </is>
      </c>
      <c r="F7" s="27" t="inlineStr">
        <is>
          <t>Les commandes et arrivages en cours se saisissent à l'écran ; le colisage s'importe en CSV/Excel.</t>
        </is>
      </c>
      <c r="G7" s="28" t="inlineStr">
        <is>
          <t>À faire</t>
        </is>
      </c>
      <c r="H7" s="28" t="n"/>
      <c r="I7" s="27" t="n"/>
    </row>
    <row r="8" ht="43.59999999999999" customHeight="1">
      <c r="A8" s="44" t="inlineStr">
        <is>
          <t>Utilisateurs, rôles et emplacements</t>
        </is>
      </c>
      <c r="B8" s="27" t="inlineStr">
        <is>
          <t>Organisation de VITRACO</t>
        </is>
      </c>
      <c r="C8" s="27" t="inlineStr">
        <is>
          <t>Saisie</t>
        </is>
      </c>
      <c r="D8" s="27" t="inlineStr">
        <is>
          <t>Validation par la Direction</t>
        </is>
      </c>
      <c r="E8" s="27" t="inlineStr">
        <is>
          <t>Administrateur</t>
        </is>
      </c>
      <c r="F8" s="27" t="inlineStr">
        <is>
          <t>Les 8 rôles livrés sont à ajuster ; le second facteur est à activer pour Administrateur, Direction et Comptabilité.</t>
        </is>
      </c>
      <c r="G8" s="28" t="inlineStr">
        <is>
          <t>À faire</t>
        </is>
      </c>
      <c r="H8" s="28" t="n"/>
      <c r="I8" s="27" t="n"/>
    </row>
    <row r="9" ht="30.4" customHeight="1">
      <c r="A9" s="44" t="inlineStr">
        <is>
          <t>Fournisseurs et référentiels</t>
        </is>
      </c>
      <c r="B9" s="27" t="inlineStr">
        <is>
          <t>Fichiers commerciaux et comptables</t>
        </is>
      </c>
      <c r="C9" s="27" t="inlineStr">
        <is>
          <t>Saisie</t>
        </is>
      </c>
      <c r="D9" s="27" t="inlineStr">
        <is>
          <t>Relecture par la comptabilité</t>
        </is>
      </c>
      <c r="E9" s="27" t="inlineStr">
        <is>
          <t>Administrateur</t>
        </is>
      </c>
      <c r="F9" s="27" t="inlineStr">
        <is>
          <t>Fournisseurs, banques, modes de paiement, catégories de dépense, centres de coût.</t>
        </is>
      </c>
      <c r="G9" s="28" t="inlineStr">
        <is>
          <t>À faire</t>
        </is>
      </c>
      <c r="H9" s="28" t="n"/>
      <c r="I9" s="27" t="n"/>
    </row>
    <row r="10" ht="43.59999999999999" customHeight="1">
      <c r="A10" s="44" t="inlineStr">
        <is>
          <t>Paramètres de contrôle et fiscaux</t>
        </is>
      </c>
      <c r="B10" s="27" t="inlineStr">
        <is>
          <t>Direction et comptabilité</t>
        </is>
      </c>
      <c r="C10" s="27" t="inlineStr">
        <is>
          <t>Saisie (Paramètres)</t>
        </is>
      </c>
      <c r="D10" s="27" t="inlineStr">
        <is>
          <t>Validation par la Direction</t>
        </is>
      </c>
      <c r="E10" s="27" t="inlineStr">
        <is>
          <t>Direction</t>
        </is>
      </c>
      <c r="F10" s="27" t="inlineStr">
        <is>
          <t>Les seuils et délais non fixés désactivent le contrôle correspondant ; taux fiscaux à confirmer avec la DGI.</t>
        </is>
      </c>
      <c r="G10" s="28" t="inlineStr">
        <is>
          <t>À faire</t>
        </is>
      </c>
      <c r="H10" s="28" t="n"/>
      <c r="I10" s="27" t="n"/>
    </row>
    <row r="13">
      <c r="A13" s="45" t="inlineStr">
        <is>
          <t>Rapprochement du stock d'ouverture, site par site</t>
        </is>
      </c>
    </row>
    <row r="14">
      <c r="A14" s="23" t="inlineStr">
        <is>
          <t>Reporter ici, pour chaque site, les chiffres du dernier rapport de l'écran Stock &gt; Pointage d'ouverture. « Écart nul » est calculé : il faut zéro manquant et zéro inattendu avec un pointage renseigné.</t>
        </is>
      </c>
    </row>
    <row r="16" ht="32" customHeight="1">
      <c r="A16" s="24" t="inlineStr">
        <is>
          <t>Site</t>
        </is>
      </c>
      <c r="B16" s="24" t="inlineStr">
        <is>
          <t>Type</t>
        </is>
      </c>
      <c r="C16" s="24" t="inlineStr">
        <is>
          <t>Date de l'import</t>
        </is>
      </c>
      <c r="D16" s="24" t="inlineStr">
        <is>
          <t>Motos importées</t>
        </is>
      </c>
      <c r="E16" s="24" t="inlineStr">
        <is>
          <t>Motos pointées</t>
        </is>
      </c>
      <c r="F16" s="24" t="inlineStr">
        <is>
          <t>Manquantes</t>
        </is>
      </c>
      <c r="G16" s="24" t="inlineStr">
        <is>
          <t>Inattendues</t>
        </is>
      </c>
      <c r="H16" s="24" t="inlineStr">
        <is>
          <t>Écart nul ?</t>
        </is>
      </c>
      <c r="I16" s="24" t="inlineStr">
        <is>
          <t>Validé par la Direction</t>
        </is>
      </c>
    </row>
    <row r="17" ht="43.59999999999999" customHeight="1">
      <c r="A17" s="44" t="inlineStr">
        <is>
          <t>Magasin principal</t>
        </is>
      </c>
      <c r="B17" s="27" t="inlineStr">
        <is>
          <t>Magasin</t>
        </is>
      </c>
      <c r="C17" s="28" t="n"/>
      <c r="D17" s="28" t="n"/>
      <c r="E17" s="28" t="n"/>
      <c r="F17" s="28" t="n"/>
      <c r="G17" s="28" t="n"/>
      <c r="H17" s="28">
        <f>IF(AND(E17&lt;&gt;"",F17=0,G17=0),"Oui","Non")</f>
        <v/>
      </c>
      <c r="I17" s="27" t="n"/>
    </row>
    <row r="18" ht="43.59999999999999" customHeight="1">
      <c r="A18" s="44" t="inlineStr">
        <is>
          <t>Boutique pilote</t>
        </is>
      </c>
      <c r="B18" s="27" t="inlineStr">
        <is>
          <t>Boutique</t>
        </is>
      </c>
      <c r="C18" s="28" t="n"/>
      <c r="D18" s="28" t="n"/>
      <c r="E18" s="28" t="n"/>
      <c r="F18" s="28" t="n"/>
      <c r="G18" s="28" t="n"/>
      <c r="H18" s="28">
        <f>IF(AND(E18&lt;&gt;"",F18=0,G18=0),"Oui","Non")</f>
        <v/>
      </c>
      <c r="I18" s="27" t="n"/>
    </row>
    <row r="19" ht="43.59999999999999" customHeight="1">
      <c r="A19" s="44" t="inlineStr">
        <is>
          <t>Seconde boutique (J+14)</t>
        </is>
      </c>
      <c r="B19" s="27" t="inlineStr">
        <is>
          <t>Boutique</t>
        </is>
      </c>
      <c r="C19" s="28" t="n"/>
      <c r="D19" s="28" t="n"/>
      <c r="E19" s="28" t="n"/>
      <c r="F19" s="28" t="n"/>
      <c r="G19" s="28" t="n"/>
      <c r="H19" s="28">
        <f>IF(AND(E19&lt;&gt;"",F19=0,G19=0),"Oui","Non")</f>
        <v/>
      </c>
      <c r="I19" s="27" t="n"/>
    </row>
    <row r="21">
      <c r="A21" s="23" t="inlineStr">
        <is>
          <t>Rappel : le pointage ne corrige rien. Un écart se traite en corrigeant le fichier d'import (puis en réimportant les seules lignes manquantes) ou, en production, par un ajustement validé par un second utilisateur (module des ajustements, lot ultérieur).</t>
        </is>
      </c>
    </row>
  </sheetData>
  <conditionalFormatting sqref="G5:G10">
    <cfRule type="cellIs" priority="1" operator="equal" dxfId="2">
      <formula>"Validé"</formula>
    </cfRule>
    <cfRule type="cellIs" priority="2" operator="equal" dxfId="3">
      <formula>"Bloqué"</formula>
    </cfRule>
    <cfRule type="cellIs" priority="3" operator="equal" dxfId="4">
      <formula>"En cours"</formula>
    </cfRule>
  </conditionalFormatting>
  <conditionalFormatting sqref="H17:H19">
    <cfRule type="cellIs" priority="4" operator="equal" dxfId="0">
      <formula>"Oui"</formula>
    </cfRule>
    <cfRule type="cellIs" priority="5" operator="equal" dxfId="1">
      <formula>"Non"</formula>
    </cfRule>
  </conditionalFormatting>
  <dataValidations count="1">
    <dataValidation sqref="G5:G10" showDropDown="0" showInputMessage="0" showErrorMessage="0" allowBlank="0" type="list">
      <formula1>"À faire,En cours,Validé,Bloqué"</formula1>
    </dataValidation>
  </dataValidations>
  <pageMargins left="0.75" right="0.75" top="1" bottom="1" header="0.5" footer="0.5"/>
</worksheet>
</file>

<file path=xl/worksheets/sheet5.xml><?xml version="1.0" encoding="utf-8"?>
<worksheet xmlns="http://schemas.openxmlformats.org/spreadsheetml/2006/main">
  <sheetPr>
    <tabColor rgb="008EA9DB"/>
    <outlinePr summaryBelow="1" summaryRight="1"/>
    <pageSetUpPr/>
  </sheetPr>
  <dimension ref="A1:I27"/>
  <sheetViews>
    <sheetView showGridLines="0" workbookViewId="0">
      <pane ySplit="4" topLeftCell="A5" activePane="bottomLeft" state="frozen"/>
      <selection pane="bottomLeft" activeCell="A1" sqref="A1"/>
    </sheetView>
  </sheetViews>
  <sheetFormatPr baseColWidth="8" defaultRowHeight="15"/>
  <cols>
    <col width="44" customWidth="1" min="1" max="1"/>
    <col width="24" customWidth="1" min="2" max="2"/>
    <col width="18" customWidth="1" min="3" max="3"/>
    <col width="18" customWidth="1" min="4" max="4"/>
    <col width="14" customWidth="1" min="5" max="5"/>
    <col width="14" customWidth="1" min="6" max="6"/>
    <col width="14" customWidth="1" min="7" max="7"/>
    <col width="20" customWidth="1" min="8" max="8"/>
    <col width="56" customWidth="1" min="9" max="9"/>
  </cols>
  <sheetData>
    <row r="1" ht="26" customHeight="1">
      <c r="A1" s="1" t="inlineStr">
        <is>
          <t>Jeu de données — import du stock initial (TC-REP-001, TC-REP-002)</t>
        </is>
      </c>
    </row>
    <row r="2">
      <c r="A2" s="2" t="inlineStr">
        <is>
          <t>Recopier ces lignes dans le modèle Excel (Stock &gt; Import du stock initial &gt; Télécharger le modèle), après avoir remplacé les valeurs entre chevrons.</t>
        </is>
      </c>
    </row>
    <row r="4" ht="32" customHeight="1">
      <c r="A4" s="24" t="inlineStr">
        <is>
          <t>Cas</t>
        </is>
      </c>
      <c r="B4" s="24" t="inlineStr">
        <is>
          <t>numero_chassis</t>
        </is>
      </c>
      <c r="C4" s="24" t="inlineStr">
        <is>
          <t>code_article</t>
        </is>
      </c>
      <c r="D4" s="24" t="inlineStr">
        <is>
          <t>emplacement</t>
        </is>
      </c>
      <c r="E4" s="24" t="inlineStr">
        <is>
          <t>statut</t>
        </is>
      </c>
      <c r="F4" s="24" t="inlineStr">
        <is>
          <t>date_entree</t>
        </is>
      </c>
      <c r="G4" s="24" t="inlineStr">
        <is>
          <t>cout_revient</t>
        </is>
      </c>
      <c r="H4" s="24" t="inlineStr">
        <is>
          <t>motif_blocage</t>
        </is>
      </c>
      <c r="I4" s="24" t="inlineStr">
        <is>
          <t>Résultat attendu</t>
        </is>
      </c>
    </row>
    <row r="5" ht="18" customHeight="1">
      <c r="A5" s="44" t="inlineStr">
        <is>
          <t>Ligne valide, avec date, coût et couleur</t>
        </is>
      </c>
      <c r="B5" s="27" t="inlineStr">
        <is>
          <t>LWBTEST00000000001</t>
        </is>
      </c>
      <c r="C5" s="27" t="inlineStr">
        <is>
          <t>&lt;CODE_ARTICLE&gt;</t>
        </is>
      </c>
      <c r="D5" s="27" t="inlineStr">
        <is>
          <t>&lt;CODE_MAGASIN&gt;</t>
        </is>
      </c>
      <c r="E5" s="27" t="inlineStr">
        <is>
          <t>disponible</t>
        </is>
      </c>
      <c r="F5" s="27" t="inlineStr">
        <is>
          <t>01/09/2026</t>
        </is>
      </c>
      <c r="G5" s="27" t="inlineStr">
        <is>
          <t>980000</t>
        </is>
      </c>
      <c r="H5" s="27" t="inlineStr"/>
      <c r="I5" s="46" t="inlineStr">
        <is>
          <t>Importée</t>
        </is>
      </c>
    </row>
    <row r="6" ht="18" customHeight="1">
      <c r="A6" s="44" t="inlineStr">
        <is>
          <t>Ligne valide, valeurs par défaut</t>
        </is>
      </c>
      <c r="B6" s="27" t="inlineStr">
        <is>
          <t>LWBTEST00000000002</t>
        </is>
      </c>
      <c r="C6" s="27" t="inlineStr">
        <is>
          <t>&lt;CODE_ARTICLE&gt;</t>
        </is>
      </c>
      <c r="D6" s="27" t="inlineStr">
        <is>
          <t>&lt;CODE_BOUTIQUE&gt;</t>
        </is>
      </c>
      <c r="E6" s="27" t="inlineStr"/>
      <c r="F6" s="27" t="inlineStr"/>
      <c r="G6" s="27" t="inlineStr"/>
      <c r="H6" s="27" t="inlineStr"/>
      <c r="I6" s="46" t="inlineStr">
        <is>
          <t>Importée (statut disponible, date du jour)</t>
        </is>
      </c>
    </row>
    <row r="7" ht="18" customHeight="1">
      <c r="A7" s="44" t="inlineStr">
        <is>
          <t>Moto bloquée avec motif</t>
        </is>
      </c>
      <c r="B7" s="27" t="inlineStr">
        <is>
          <t>LWBTEST00000000003</t>
        </is>
      </c>
      <c r="C7" s="27" t="inlineStr">
        <is>
          <t>&lt;CODE_ARTICLE&gt;</t>
        </is>
      </c>
      <c r="D7" s="27" t="inlineStr">
        <is>
          <t>&lt;CODE_MAGASIN&gt;</t>
        </is>
      </c>
      <c r="E7" s="27" t="inlineStr">
        <is>
          <t>bloqué</t>
        </is>
      </c>
      <c r="F7" s="27" t="inlineStr"/>
      <c r="G7" s="27" t="inlineStr"/>
      <c r="H7" s="27" t="inlineStr">
        <is>
          <t>Cadre fissuré</t>
        </is>
      </c>
      <c r="I7" s="46" t="inlineStr">
        <is>
          <t>Importée BLOQUÉE avec son motif</t>
        </is>
      </c>
    </row>
    <row r="8" ht="18" customHeight="1">
      <c r="A8" s="44" t="inlineStr">
        <is>
          <t>Emplacement donné par son nom</t>
        </is>
      </c>
      <c r="B8" s="27" t="inlineStr">
        <is>
          <t>LWBTEST00000000004</t>
        </is>
      </c>
      <c r="C8" s="27" t="inlineStr">
        <is>
          <t>&lt;CODE_ARTICLE&gt;</t>
        </is>
      </c>
      <c r="D8" s="27" t="inlineStr">
        <is>
          <t>&lt;NOM_BOUTIQUE&gt;</t>
        </is>
      </c>
      <c r="E8" s="27" t="inlineStr"/>
      <c r="F8" s="27" t="inlineStr"/>
      <c r="G8" s="27" t="inlineStr">
        <is>
          <t>1 250 000</t>
        </is>
      </c>
      <c r="H8" s="27" t="inlineStr"/>
      <c r="I8" s="46" t="inlineStr">
        <is>
          <t>Importée (coût 1 250 000 lu malgré les espaces)</t>
        </is>
      </c>
    </row>
    <row r="9" ht="18" customHeight="1">
      <c r="A9" s="44" t="inlineStr">
        <is>
          <t>Numéro avec tirets et minuscules</t>
        </is>
      </c>
      <c r="B9" s="27" t="inlineStr">
        <is>
          <t>lwb-test-0000-0000-05</t>
        </is>
      </c>
      <c r="C9" s="27" t="inlineStr">
        <is>
          <t>&lt;CODE_ARTICLE&gt;</t>
        </is>
      </c>
      <c r="D9" s="27" t="inlineStr">
        <is>
          <t>&lt;CODE_MAGASIN&gt;</t>
        </is>
      </c>
      <c r="E9" s="27" t="inlineStr"/>
      <c r="F9" s="27" t="inlineStr"/>
      <c r="G9" s="27" t="inlineStr"/>
      <c r="H9" s="27" t="inlineStr"/>
      <c r="I9" s="46" t="inlineStr">
        <is>
          <t>Importée (numéro normalisé en majuscules sans tirets)</t>
        </is>
      </c>
    </row>
    <row r="10" ht="18" customHeight="1">
      <c r="A10" s="44" t="inlineStr">
        <is>
          <t>Doublon dans le fichier</t>
        </is>
      </c>
      <c r="B10" s="27" t="inlineStr">
        <is>
          <t>LWBTEST00000000001</t>
        </is>
      </c>
      <c r="C10" s="27" t="inlineStr">
        <is>
          <t>&lt;CODE_ARTICLE&gt;</t>
        </is>
      </c>
      <c r="D10" s="27" t="inlineStr">
        <is>
          <t>&lt;CODE_MAGASIN&gt;</t>
        </is>
      </c>
      <c r="E10" s="27" t="inlineStr"/>
      <c r="F10" s="27" t="inlineStr"/>
      <c r="G10" s="27" t="inlineStr"/>
      <c r="H10" s="27" t="inlineStr"/>
      <c r="I10" s="47" t="inlineStr">
        <is>
          <t>Rejetée : doublon dans le fichier</t>
        </is>
      </c>
    </row>
    <row r="11" ht="18" customHeight="1">
      <c r="A11" s="44" t="inlineStr">
        <is>
          <t>Châssis déjà au stock</t>
        </is>
      </c>
      <c r="B11" s="27" t="inlineStr">
        <is>
          <t>&lt;NUMERO_DEJA_EN_STOCK&gt;</t>
        </is>
      </c>
      <c r="C11" s="27" t="inlineStr">
        <is>
          <t>&lt;CODE_ARTICLE&gt;</t>
        </is>
      </c>
      <c r="D11" s="27" t="inlineStr">
        <is>
          <t>&lt;CODE_MAGASIN&gt;</t>
        </is>
      </c>
      <c r="E11" s="27" t="inlineStr"/>
      <c r="F11" s="27" t="inlineStr"/>
      <c r="G11" s="27" t="inlineStr"/>
      <c r="H11" s="27" t="inlineStr"/>
      <c r="I11" s="47" t="inlineStr">
        <is>
          <t>Rejetée : châssis déjà enregistré (avec son emplacement)</t>
        </is>
      </c>
    </row>
    <row r="12" ht="18" customHeight="1">
      <c r="A12" s="44" t="inlineStr">
        <is>
          <t>Code article inconnu</t>
        </is>
      </c>
      <c r="B12" s="27" t="inlineStr">
        <is>
          <t>LWBTEST00000000006</t>
        </is>
      </c>
      <c r="C12" s="27" t="inlineStr">
        <is>
          <t>ZZ-INCONNU</t>
        </is>
      </c>
      <c r="D12" s="27" t="inlineStr">
        <is>
          <t>&lt;CODE_MAGASIN&gt;</t>
        </is>
      </c>
      <c r="E12" s="27" t="inlineStr"/>
      <c r="F12" s="27" t="inlineStr"/>
      <c r="G12" s="27" t="inlineStr"/>
      <c r="H12" s="27" t="inlineStr"/>
      <c r="I12" s="47" t="inlineStr">
        <is>
          <t>Rejetée : code article inconnu : ZZ-INCONNU</t>
        </is>
      </c>
    </row>
    <row r="13" ht="30.4" customHeight="1">
      <c r="A13" s="44" t="inlineStr">
        <is>
          <t>Emplacement inconnu</t>
        </is>
      </c>
      <c r="B13" s="27" t="inlineStr">
        <is>
          <t>LWBTEST00000000007</t>
        </is>
      </c>
      <c r="C13" s="27" t="inlineStr">
        <is>
          <t>&lt;CODE_ARTICLE&gt;</t>
        </is>
      </c>
      <c r="D13" s="27" t="inlineStr">
        <is>
          <t>LIEU-FANTOME</t>
        </is>
      </c>
      <c r="E13" s="27" t="inlineStr"/>
      <c r="F13" s="27" t="inlineStr"/>
      <c r="G13" s="27" t="inlineStr"/>
      <c r="H13" s="27" t="inlineStr"/>
      <c r="I13" s="47" t="inlineStr">
        <is>
          <t>Rejetée : emplacement inconnu, désactivé ou qui n'est ni un magasin ni une boutique</t>
        </is>
      </c>
    </row>
    <row r="14" ht="18" customHeight="1">
      <c r="A14" s="44" t="inlineStr">
        <is>
          <t>Emplacement de transit</t>
        </is>
      </c>
      <c r="B14" s="27" t="inlineStr">
        <is>
          <t>LWBTEST00000000008</t>
        </is>
      </c>
      <c r="C14" s="27" t="inlineStr">
        <is>
          <t>&lt;CODE_ARTICLE&gt;</t>
        </is>
      </c>
      <c r="D14" s="27" t="inlineStr">
        <is>
          <t>TRANSIT</t>
        </is>
      </c>
      <c r="E14" s="27" t="inlineStr"/>
      <c r="F14" s="27" t="inlineStr"/>
      <c r="G14" s="27" t="inlineStr"/>
      <c r="H14" s="27" t="inlineStr"/>
      <c r="I14" s="47" t="inlineStr">
        <is>
          <t>Rejetée : ni un magasin ni une boutique</t>
        </is>
      </c>
    </row>
    <row r="15" ht="18" customHeight="1">
      <c r="A15" s="44" t="inlineStr">
        <is>
          <t>Bloqué sans motif</t>
        </is>
      </c>
      <c r="B15" s="27" t="inlineStr">
        <is>
          <t>LWBTEST00000000009</t>
        </is>
      </c>
      <c r="C15" s="27" t="inlineStr">
        <is>
          <t>&lt;CODE_ARTICLE&gt;</t>
        </is>
      </c>
      <c r="D15" s="27" t="inlineStr">
        <is>
          <t>&lt;CODE_MAGASIN&gt;</t>
        </is>
      </c>
      <c r="E15" s="27" t="inlineStr">
        <is>
          <t>bloqué</t>
        </is>
      </c>
      <c r="F15" s="27" t="inlineStr"/>
      <c r="G15" s="27" t="inlineStr"/>
      <c r="H15" s="27" t="inlineStr"/>
      <c r="I15" s="47" t="inlineStr">
        <is>
          <t>Rejetée : un châssis bloqué exige un motif</t>
        </is>
      </c>
    </row>
    <row r="16" ht="18" customHeight="1">
      <c r="A16" s="44" t="inlineStr">
        <is>
          <t>Statut non repris</t>
        </is>
      </c>
      <c r="B16" s="27" t="inlineStr">
        <is>
          <t>LWBTEST00000000010</t>
        </is>
      </c>
      <c r="C16" s="27" t="inlineStr">
        <is>
          <t>&lt;CODE_ARTICLE&gt;</t>
        </is>
      </c>
      <c r="D16" s="27" t="inlineStr">
        <is>
          <t>&lt;CODE_MAGASIN&gt;</t>
        </is>
      </c>
      <c r="E16" s="27" t="inlineStr">
        <is>
          <t>réservée</t>
        </is>
      </c>
      <c r="F16" s="27" t="inlineStr"/>
      <c r="G16" s="27" t="inlineStr"/>
      <c r="H16" s="27" t="inlineStr"/>
      <c r="I16" s="47" t="inlineStr">
        <is>
          <t>Rejetée : statut non repris</t>
        </is>
      </c>
    </row>
    <row r="17" ht="18" customHeight="1">
      <c r="A17" s="44" t="inlineStr">
        <is>
          <t>Date illisible</t>
        </is>
      </c>
      <c r="B17" s="27" t="inlineStr">
        <is>
          <t>LWBTEST00000000011</t>
        </is>
      </c>
      <c r="C17" s="27" t="inlineStr">
        <is>
          <t>&lt;CODE_ARTICLE&gt;</t>
        </is>
      </c>
      <c r="D17" s="27" t="inlineStr">
        <is>
          <t>&lt;CODE_MAGASIN&gt;</t>
        </is>
      </c>
      <c r="E17" s="27" t="inlineStr"/>
      <c r="F17" s="27" t="inlineStr">
        <is>
          <t>31/02/2026</t>
        </is>
      </c>
      <c r="G17" s="27" t="inlineStr"/>
      <c r="H17" s="27" t="inlineStr"/>
      <c r="I17" s="47" t="inlineStr">
        <is>
          <t>Rejetée : date d'entrée illisible</t>
        </is>
      </c>
    </row>
    <row r="18" ht="18" customHeight="1">
      <c r="A18" s="44" t="inlineStr">
        <is>
          <t>Date dans le futur</t>
        </is>
      </c>
      <c r="B18" s="27" t="inlineStr">
        <is>
          <t>LWBTEST00000000012</t>
        </is>
      </c>
      <c r="C18" s="27" t="inlineStr">
        <is>
          <t>&lt;CODE_ARTICLE&gt;</t>
        </is>
      </c>
      <c r="D18" s="27" t="inlineStr">
        <is>
          <t>&lt;CODE_MAGASIN&gt;</t>
        </is>
      </c>
      <c r="E18" s="27" t="inlineStr"/>
      <c r="F18" s="27" t="inlineStr">
        <is>
          <t>&lt;DATE_DEMAIN&gt;</t>
        </is>
      </c>
      <c r="G18" s="27" t="inlineStr"/>
      <c r="H18" s="27" t="inlineStr"/>
      <c r="I18" s="47" t="inlineStr">
        <is>
          <t>Rejetée : date d'entrée dans le futur</t>
        </is>
      </c>
    </row>
    <row r="19" ht="18" customHeight="1">
      <c r="A19" s="44" t="inlineStr">
        <is>
          <t>Coût négatif</t>
        </is>
      </c>
      <c r="B19" s="27" t="inlineStr">
        <is>
          <t>LWBTEST00000000013</t>
        </is>
      </c>
      <c r="C19" s="27" t="inlineStr">
        <is>
          <t>&lt;CODE_ARTICLE&gt;</t>
        </is>
      </c>
      <c r="D19" s="27" t="inlineStr">
        <is>
          <t>&lt;CODE_MAGASIN&gt;</t>
        </is>
      </c>
      <c r="E19" s="27" t="inlineStr"/>
      <c r="F19" s="27" t="inlineStr"/>
      <c r="G19" s="27" t="inlineStr">
        <is>
          <t>-5</t>
        </is>
      </c>
      <c r="H19" s="27" t="inlineStr"/>
      <c r="I19" s="47" t="inlineStr">
        <is>
          <t>Rejetée : coût de revient négatif</t>
        </is>
      </c>
    </row>
    <row r="20" ht="30.4" customHeight="1">
      <c r="A20" s="44" t="inlineStr">
        <is>
          <t>Format de châssis non conforme au modèle</t>
        </is>
      </c>
      <c r="B20" s="27" t="inlineStr">
        <is>
          <t>XX1</t>
        </is>
      </c>
      <c r="C20" s="27" t="inlineStr">
        <is>
          <t>&lt;CODE_ARTICLE&gt;</t>
        </is>
      </c>
      <c r="D20" s="27" t="inlineStr">
        <is>
          <t>&lt;CODE_MAGASIN&gt;</t>
        </is>
      </c>
      <c r="E20" s="27" t="inlineStr"/>
      <c r="F20" s="27" t="inlineStr"/>
      <c r="G20" s="27" t="inlineStr"/>
      <c r="H20" s="27" t="inlineStr"/>
      <c r="I20" s="47" t="inlineStr">
        <is>
          <t>Rejetée : numéro ne respectant pas le format du modèle (si un format est défini)</t>
        </is>
      </c>
    </row>
    <row r="21" ht="18" customHeight="1">
      <c r="A21" s="44" t="inlineStr">
        <is>
          <t>Numéro manquant</t>
        </is>
      </c>
      <c r="B21" s="27" t="inlineStr"/>
      <c r="C21" s="27" t="inlineStr">
        <is>
          <t>&lt;CODE_ARTICLE&gt;</t>
        </is>
      </c>
      <c r="D21" s="27" t="inlineStr">
        <is>
          <t>&lt;CODE_MAGASIN&gt;</t>
        </is>
      </c>
      <c r="E21" s="27" t="inlineStr"/>
      <c r="F21" s="27" t="inlineStr"/>
      <c r="G21" s="27" t="inlineStr"/>
      <c r="H21" s="27" t="inlineStr"/>
      <c r="I21" s="47" t="inlineStr">
        <is>
          <t>Rejetée : numéro de châssis manquant</t>
        </is>
      </c>
    </row>
    <row r="22" ht="18" customHeight="1">
      <c r="A22" s="44" t="inlineStr">
        <is>
          <t>Ligne entièrement vide</t>
        </is>
      </c>
      <c r="B22" s="27" t="inlineStr"/>
      <c r="C22" s="27" t="inlineStr"/>
      <c r="D22" s="27" t="inlineStr"/>
      <c r="E22" s="27" t="inlineStr"/>
      <c r="F22" s="27" t="inlineStr"/>
      <c r="G22" s="27" t="inlineStr"/>
      <c r="H22" s="27" t="inlineStr"/>
      <c r="I22" s="48" t="inlineStr">
        <is>
          <t>Ignorée (ni importée, ni rejetée, non comptée)</t>
        </is>
      </c>
    </row>
    <row r="24" ht="28" customHeight="1">
      <c r="A24" s="49" t="inlineStr">
        <is>
          <t>Remplacements : &lt;CODE_ARTICLE&gt; = un code article existant au catalogue ; &lt;CODE_MAGASIN&gt; et &lt;CODE_BOUTIQUE&gt; = codes d'emplacement existants (ou leur nom) ; &lt;NOM_BOUTIQUE&gt; = nom complet de la boutique ;</t>
        </is>
      </c>
    </row>
    <row r="25" ht="28" customHeight="1">
      <c r="A25" s="49" t="inlineStr">
        <is>
          <t>&lt;NUMERO_DEJA_EN_STOCK&gt; = le numéro d'un châssis déjà au stock ; &lt;DATE_DEMAIN&gt; = la date de demain au format jj/mm/aaaa.</t>
        </is>
      </c>
    </row>
    <row r="26" ht="28" customHeight="1">
      <c r="A26" s="49" t="inlineStr">
        <is>
          <t>Résultat attendu de l'ensemble : 5 lignes importées, 12 lignes rejetées avec leur motif, 1 ligne vide ignorée. Rejouer ensuite le fichier : 0 ligne importée (aucun doublon).</t>
        </is>
      </c>
    </row>
    <row r="27" ht="28" customHeight="1">
      <c r="A27" s="49" t="inlineStr">
        <is>
          <t>Colonnes obligatoires : numero_chassis, code_article, emplacement. Facultatives : statut (disponible par défaut, ou bloqué avec motif), date_entree, cout_revient, numero_moteur, couleur, motif_blocage. Formats : .xlsx ou .csv (séparateur ; , ou tabulation).</t>
        </is>
      </c>
    </row>
  </sheetData>
  <mergeCells count="4">
    <mergeCell ref="A25:I25"/>
    <mergeCell ref="A27:I27"/>
    <mergeCell ref="A26:I26"/>
    <mergeCell ref="A24:I24"/>
  </mergeCells>
  <pageMargins left="0.75" right="0.75" top="1" bottom="1" header="0.5" footer="0.5"/>
</worksheet>
</file>

<file path=xl/worksheets/sheet6.xml><?xml version="1.0" encoding="utf-8"?>
<worksheet xmlns="http://schemas.openxmlformats.org/spreadsheetml/2006/main">
  <sheetPr>
    <tabColor rgb="008EA9DB"/>
    <outlinePr summaryBelow="1" summaryRight="1"/>
    <pageSetUpPr/>
  </sheetPr>
  <dimension ref="A1:K32"/>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10" customWidth="1" min="1" max="1"/>
    <col width="8" customWidth="1" min="2" max="2"/>
    <col width="46" customWidth="1" min="3" max="3"/>
    <col width="52" customWidth="1" min="4" max="4"/>
    <col width="13" customWidth="1" min="5" max="5"/>
    <col width="8" customWidth="1" min="6" max="6"/>
    <col width="10" customWidth="1" min="7" max="7"/>
    <col width="8" customWidth="1" min="8" max="8"/>
    <col width="8" customWidth="1" min="9" max="9"/>
    <col width="14" customWidth="1" min="10" max="10"/>
    <col width="46" customWidth="1" min="11" max="11"/>
  </cols>
  <sheetData>
    <row r="1" ht="26" customHeight="1">
      <c r="A1" s="1" t="inlineStr">
        <is>
          <t>Traçabilité — user stories du lot 1</t>
        </is>
      </c>
    </row>
    <row r="2">
      <c r="A2" s="2" t="inlineStr">
        <is>
          <t>Le nombre de cas et leur résultat sont calculés à partir de l'onglet « Plan de test » (colonne Référence).</t>
        </is>
      </c>
    </row>
    <row r="4" ht="32" customHeight="1">
      <c r="A4" s="24" t="inlineStr">
        <is>
          <t>Story</t>
        </is>
      </c>
      <c r="B4" s="24" t="inlineStr">
        <is>
          <t>Epic</t>
        </is>
      </c>
      <c r="C4" s="24" t="inlineStr">
        <is>
          <t>Intitulé</t>
        </is>
      </c>
      <c r="D4" s="24" t="inlineStr">
        <is>
          <t>Critères d'acceptation (SRS)</t>
        </is>
      </c>
      <c r="E4" s="24" t="inlineStr">
        <is>
          <t>Livraison</t>
        </is>
      </c>
      <c r="F4" s="24" t="inlineStr">
        <is>
          <t>Cas</t>
        </is>
      </c>
      <c r="G4" s="24" t="inlineStr">
        <is>
          <t>Réussis</t>
        </is>
      </c>
      <c r="H4" s="24" t="inlineStr">
        <is>
          <t>Échecs</t>
        </is>
      </c>
      <c r="I4" s="24" t="inlineStr">
        <is>
          <t>Reste</t>
        </is>
      </c>
      <c r="J4" s="24" t="inlineStr">
        <is>
          <t>Verdict</t>
        </is>
      </c>
      <c r="K4" s="24" t="inlineStr">
        <is>
          <t>Commentaire</t>
        </is>
      </c>
    </row>
    <row r="5" ht="254.8" customHeight="1">
      <c r="A5" s="44" t="inlineStr">
        <is>
          <t>US-001</t>
        </is>
      </c>
      <c r="B5" s="28" t="inlineStr">
        <is>
          <t>EP-01</t>
        </is>
      </c>
      <c r="C5" s="27" t="inlineStr">
        <is>
          <t>Créer un utilisateur avec ses rôles et ses emplacements</t>
        </is>
      </c>
      <c r="D5" s="27" t="inlineStr">
        <is>
          <t>Lien d'activation ; ne voit que ses emplacements ; création au journal</t>
        </is>
      </c>
      <c r="E5" s="28" t="inlineStr">
        <is>
          <t>Livré</t>
        </is>
      </c>
      <c r="F5" s="28">
        <f>COUNTIF('Plan de test'!$C$5:$C$152,"*"&amp;A5&amp;"*")</f>
        <v/>
      </c>
      <c r="G5" s="28">
        <f>COUNTIFS('Plan de test'!$C$5:$C$152,"*"&amp;A5&amp;"*",'Plan de test'!$M$5:$M$152,"Réussi")</f>
        <v/>
      </c>
      <c r="H5" s="28">
        <f>COUNTIFS('Plan de test'!$C$5:$C$152,"*"&amp;A5&amp;"*",'Plan de test'!$M$5:$M$152,"Échec")+COUNTIFS('Plan de test'!$C$5:$C$152,"*"&amp;A5&amp;"*",'Plan de test'!$M$5:$M$152,"Bloqué")</f>
        <v/>
      </c>
      <c r="I5" s="28">
        <f>F5-G5-H5-COUNTIFS('Plan de test'!$C$5:$C$152,"*"&amp;A5&amp;"*",'Plan de test'!$M$5:$M$152,"Non livré")</f>
        <v/>
      </c>
      <c r="J5" s="28">
        <f>IF(F5=0,"Aucun cas",IF(H5&gt;0,"Échec",IF(G5=F5,"Validée",IF(G5+COUNTIFS('Plan de test'!$C$5:$C$152,"*"&amp;A5&amp;"*",'Plan de test'!$M$5:$M$152,"Non livré")=F5,"Non livrée","En cours"))))</f>
        <v/>
      </c>
      <c r="K5" s="27" t="inlineStr"/>
    </row>
    <row r="6" ht="254.8" customHeight="1">
      <c r="A6" s="44" t="inlineStr">
        <is>
          <t>US-002</t>
        </is>
      </c>
      <c r="B6" s="28" t="inlineStr">
        <is>
          <t>EP-01</t>
        </is>
      </c>
      <c r="C6" s="27" t="inlineStr">
        <is>
          <t>Connexion par mot de passe et second facteur</t>
        </is>
      </c>
      <c r="D6" s="27" t="inlineStr">
        <is>
          <t>5 échecs verrouillent ; second facteur pour Administrateur, Direction, Comptabilité</t>
        </is>
      </c>
      <c r="E6" s="28" t="inlineStr">
        <is>
          <t>Livré</t>
        </is>
      </c>
      <c r="F6" s="28">
        <f>COUNTIF('Plan de test'!$C$5:$C$152,"*"&amp;A6&amp;"*")</f>
        <v/>
      </c>
      <c r="G6" s="28">
        <f>COUNTIFS('Plan de test'!$C$5:$C$152,"*"&amp;A6&amp;"*",'Plan de test'!$M$5:$M$152,"Réussi")</f>
        <v/>
      </c>
      <c r="H6" s="28">
        <f>COUNTIFS('Plan de test'!$C$5:$C$152,"*"&amp;A6&amp;"*",'Plan de test'!$M$5:$M$152,"Échec")+COUNTIFS('Plan de test'!$C$5:$C$152,"*"&amp;A6&amp;"*",'Plan de test'!$M$5:$M$152,"Bloqué")</f>
        <v/>
      </c>
      <c r="I6" s="28">
        <f>F6-G6-H6-COUNTIFS('Plan de test'!$C$5:$C$152,"*"&amp;A6&amp;"*",'Plan de test'!$M$5:$M$152,"Non livré")</f>
        <v/>
      </c>
      <c r="J6" s="28">
        <f>IF(F6=0,"Aucun cas",IF(H6&gt;0,"Échec",IF(G6=F6,"Validée",IF(G6+COUNTIFS('Plan de test'!$C$5:$C$152,"*"&amp;A6&amp;"*",'Plan de test'!$M$5:$M$152,"Non livré")=F6,"Non livrée","En cours"))))</f>
        <v/>
      </c>
      <c r="K6" s="27" t="inlineStr"/>
    </row>
    <row r="7" ht="254.8" customHeight="1">
      <c r="A7" s="44" t="inlineStr">
        <is>
          <t>US-003</t>
        </is>
      </c>
      <c r="B7" s="28" t="inlineStr">
        <is>
          <t>EP-01</t>
        </is>
      </c>
      <c r="C7" s="27" t="inlineStr">
        <is>
          <t>Régler les permissions d'un rôle action par action</t>
        </is>
      </c>
      <c r="D7" s="27" t="inlineStr">
        <is>
          <t>Retirer « Voir marges » masque les marges ; appel direct refusé</t>
        </is>
      </c>
      <c r="E7" s="28" t="inlineStr">
        <is>
          <t>Partiel</t>
        </is>
      </c>
      <c r="F7" s="28">
        <f>COUNTIF('Plan de test'!$C$5:$C$152,"*"&amp;A7&amp;"*")</f>
        <v/>
      </c>
      <c r="G7" s="28">
        <f>COUNTIFS('Plan de test'!$C$5:$C$152,"*"&amp;A7&amp;"*",'Plan de test'!$M$5:$M$152,"Réussi")</f>
        <v/>
      </c>
      <c r="H7" s="28">
        <f>COUNTIFS('Plan de test'!$C$5:$C$152,"*"&amp;A7&amp;"*",'Plan de test'!$M$5:$M$152,"Échec")+COUNTIFS('Plan de test'!$C$5:$C$152,"*"&amp;A7&amp;"*",'Plan de test'!$M$5:$M$152,"Bloqué")</f>
        <v/>
      </c>
      <c r="I7" s="28">
        <f>F7-G7-H7-COUNTIFS('Plan de test'!$C$5:$C$152,"*"&amp;A7&amp;"*",'Plan de test'!$M$5:$M$152,"Non livré")</f>
        <v/>
      </c>
      <c r="J7" s="28">
        <f>IF(F7=0,"Aucun cas",IF(H7&gt;0,"Échec",IF(G7=F7,"Validée",IF(G7+COUNTIFS('Plan de test'!$C$5:$C$152,"*"&amp;A7&amp;"*",'Plan de test'!$M$5:$M$152,"Non livré")=F7,"Non livrée","En cours"))))</f>
        <v/>
      </c>
      <c r="K7" s="27" t="inlineStr">
        <is>
          <t>Mécanisme livré et testé ; l'écran des marges viendra avec le lot 2</t>
        </is>
      </c>
    </row>
    <row r="8" ht="254.8" customHeight="1">
      <c r="A8" s="44" t="inlineStr">
        <is>
          <t>US-004</t>
        </is>
      </c>
      <c r="B8" s="28" t="inlineStr">
        <is>
          <t>EP-01</t>
        </is>
      </c>
      <c r="C8" s="27" t="inlineStr">
        <is>
          <t>Créer magasins et boutiques, fixer le mode de chaque boutique</t>
        </is>
      </c>
      <c r="D8" s="27" t="inlineStr">
        <is>
          <t>Mode B exige un rattachement ; changement refusé s'il reste du stock</t>
        </is>
      </c>
      <c r="E8" s="28" t="inlineStr">
        <is>
          <t>Livré</t>
        </is>
      </c>
      <c r="F8" s="28">
        <f>COUNTIF('Plan de test'!$C$5:$C$152,"*"&amp;A8&amp;"*")</f>
        <v/>
      </c>
      <c r="G8" s="28">
        <f>COUNTIFS('Plan de test'!$C$5:$C$152,"*"&amp;A8&amp;"*",'Plan de test'!$M$5:$M$152,"Réussi")</f>
        <v/>
      </c>
      <c r="H8" s="28">
        <f>COUNTIFS('Plan de test'!$C$5:$C$152,"*"&amp;A8&amp;"*",'Plan de test'!$M$5:$M$152,"Échec")+COUNTIFS('Plan de test'!$C$5:$C$152,"*"&amp;A8&amp;"*",'Plan de test'!$M$5:$M$152,"Bloqué")</f>
        <v/>
      </c>
      <c r="I8" s="28">
        <f>F8-G8-H8-COUNTIFS('Plan de test'!$C$5:$C$152,"*"&amp;A8&amp;"*",'Plan de test'!$M$5:$M$152,"Non livré")</f>
        <v/>
      </c>
      <c r="J8" s="28">
        <f>IF(F8=0,"Aucun cas",IF(H8&gt;0,"Échec",IF(G8=F8,"Validée",IF(G8+COUNTIFS('Plan de test'!$C$5:$C$152,"*"&amp;A8&amp;"*",'Plan de test'!$M$5:$M$152,"Non livré")=F8,"Non livrée","En cours"))))</f>
        <v/>
      </c>
      <c r="K8" s="27" t="inlineStr">
        <is>
          <t>Contrôle du stock activé avec le lot 1</t>
        </is>
      </c>
    </row>
    <row r="9" ht="254.8" customHeight="1">
      <c r="A9" s="44" t="inlineStr">
        <is>
          <t>US-005</t>
        </is>
      </c>
      <c r="B9" s="28" t="inlineStr">
        <is>
          <t>EP-01</t>
        </is>
      </c>
      <c r="C9" s="27" t="inlineStr">
        <is>
          <t>Paramétrer les seuils et délais de contrôle</t>
        </is>
      </c>
      <c r="D9" s="27" t="inlineStr">
        <is>
          <t>Nouvelle valeur applicable aux contrôles suivants ; ancienne au journal</t>
        </is>
      </c>
      <c r="E9" s="28" t="inlineStr">
        <is>
          <t>Livré</t>
        </is>
      </c>
      <c r="F9" s="28">
        <f>COUNTIF('Plan de test'!$C$5:$C$152,"*"&amp;A9&amp;"*")</f>
        <v/>
      </c>
      <c r="G9" s="28">
        <f>COUNTIFS('Plan de test'!$C$5:$C$152,"*"&amp;A9&amp;"*",'Plan de test'!$M$5:$M$152,"Réussi")</f>
        <v/>
      </c>
      <c r="H9" s="28">
        <f>COUNTIFS('Plan de test'!$C$5:$C$152,"*"&amp;A9&amp;"*",'Plan de test'!$M$5:$M$152,"Échec")+COUNTIFS('Plan de test'!$C$5:$C$152,"*"&amp;A9&amp;"*",'Plan de test'!$M$5:$M$152,"Bloqué")</f>
        <v/>
      </c>
      <c r="I9" s="28">
        <f>F9-G9-H9-COUNTIFS('Plan de test'!$C$5:$C$152,"*"&amp;A9&amp;"*",'Plan de test'!$M$5:$M$152,"Non livré")</f>
        <v/>
      </c>
      <c r="J9" s="28">
        <f>IF(F9=0,"Aucun cas",IF(H9&gt;0,"Échec",IF(G9=F9,"Validée",IF(G9+COUNTIFS('Plan de test'!$C$5:$C$152,"*"&amp;A9&amp;"*",'Plan de test'!$M$5:$M$152,"Non livré")=F9,"Non livrée","En cours"))))</f>
        <v/>
      </c>
      <c r="K9" s="27" t="inlineStr"/>
    </row>
    <row r="10" ht="254.8" customHeight="1">
      <c r="A10" s="44" t="inlineStr">
        <is>
          <t>US-006</t>
        </is>
      </c>
      <c r="B10" s="28" t="inlineStr">
        <is>
          <t>EP-01</t>
        </is>
      </c>
      <c r="C10" s="27" t="inlineStr">
        <is>
          <t>Importer les données initiales depuis Excel</t>
        </is>
      </c>
      <c r="D10" s="27" t="inlineStr">
        <is>
          <t>Lignes en erreur rejetées avec motif ; aucun doublon ; rapport d'import</t>
        </is>
      </c>
      <c r="E10" s="28" t="inlineStr">
        <is>
          <t>Partiel</t>
        </is>
      </c>
      <c r="F10" s="28">
        <f>COUNTIF('Plan de test'!$C$5:$C$152,"*"&amp;A10&amp;"*")</f>
        <v/>
      </c>
      <c r="G10" s="28">
        <f>COUNTIFS('Plan de test'!$C$5:$C$152,"*"&amp;A10&amp;"*",'Plan de test'!$M$5:$M$152,"Réussi")</f>
        <v/>
      </c>
      <c r="H10" s="28">
        <f>COUNTIFS('Plan de test'!$C$5:$C$152,"*"&amp;A10&amp;"*",'Plan de test'!$M$5:$M$152,"Échec")+COUNTIFS('Plan de test'!$C$5:$C$152,"*"&amp;A10&amp;"*",'Plan de test'!$M$5:$M$152,"Bloqué")</f>
        <v/>
      </c>
      <c r="I10" s="28">
        <f>F10-G10-H10-COUNTIFS('Plan de test'!$C$5:$C$152,"*"&amp;A10&amp;"*",'Plan de test'!$M$5:$M$152,"Non livré")</f>
        <v/>
      </c>
      <c r="J10" s="28">
        <f>IF(F10=0,"Aucun cas",IF(H10&gt;0,"Échec",IF(G10=F10,"Validée",IF(G10+COUNTIFS('Plan de test'!$C$5:$C$152,"*"&amp;A10&amp;"*",'Plan de test'!$M$5:$M$152,"Non livré")=F10,"Non livrée","En cours"))))</f>
        <v/>
      </c>
      <c r="K10" s="27" t="inlineStr">
        <is>
          <t>Stock par châssis livré ; les soldes clients et factures ouvertes viennent avec le lot 2</t>
        </is>
      </c>
    </row>
    <row r="11" ht="254.8" customHeight="1">
      <c r="A11" s="44" t="inlineStr">
        <is>
          <t>US-007</t>
        </is>
      </c>
      <c r="B11" s="28" t="inlineStr">
        <is>
          <t>EP-01</t>
        </is>
      </c>
      <c r="C11" s="27" t="inlineStr">
        <is>
          <t>La Direction est notifiée de tout changement de droits</t>
        </is>
      </c>
      <c r="D11" s="27" t="inlineStr">
        <is>
          <t>Utilisateur, ancien et nouveau droit, auteur</t>
        </is>
      </c>
      <c r="E11" s="28" t="inlineStr">
        <is>
          <t>Livré</t>
        </is>
      </c>
      <c r="F11" s="28">
        <f>COUNTIF('Plan de test'!$C$5:$C$152,"*"&amp;A11&amp;"*")</f>
        <v/>
      </c>
      <c r="G11" s="28">
        <f>COUNTIFS('Plan de test'!$C$5:$C$152,"*"&amp;A11&amp;"*",'Plan de test'!$M$5:$M$152,"Réussi")</f>
        <v/>
      </c>
      <c r="H11" s="28">
        <f>COUNTIFS('Plan de test'!$C$5:$C$152,"*"&amp;A11&amp;"*",'Plan de test'!$M$5:$M$152,"Échec")+COUNTIFS('Plan de test'!$C$5:$C$152,"*"&amp;A11&amp;"*",'Plan de test'!$M$5:$M$152,"Bloqué")</f>
        <v/>
      </c>
      <c r="I11" s="28">
        <f>F11-G11-H11-COUNTIFS('Plan de test'!$C$5:$C$152,"*"&amp;A11&amp;"*",'Plan de test'!$M$5:$M$152,"Non livré")</f>
        <v/>
      </c>
      <c r="J11" s="28">
        <f>IF(F11=0,"Aucun cas",IF(H11&gt;0,"Échec",IF(G11=F11,"Validée",IF(G11+COUNTIFS('Plan de test'!$C$5:$C$152,"*"&amp;A11&amp;"*",'Plan de test'!$M$5:$M$152,"Non livré")=F11,"Non livrée","En cours"))))</f>
        <v/>
      </c>
      <c r="K11" s="27" t="inlineStr"/>
    </row>
    <row r="12" ht="254.8" customHeight="1">
      <c r="A12" s="44" t="inlineStr">
        <is>
          <t>US-008</t>
        </is>
      </c>
      <c r="B12" s="28" t="inlineStr">
        <is>
          <t>EP-01</t>
        </is>
      </c>
      <c r="C12" s="27" t="inlineStr">
        <is>
          <t>Recevoir ses tâches en attente en notification</t>
        </is>
      </c>
      <c r="D12" s="27" t="inlineStr">
        <is>
          <t>Un clic ouvre l'écran de traitement</t>
        </is>
      </c>
      <c r="E12" s="28" t="inlineStr">
        <is>
          <t>Livré</t>
        </is>
      </c>
      <c r="F12" s="28">
        <f>COUNTIF('Plan de test'!$C$5:$C$152,"*"&amp;A12&amp;"*")</f>
        <v/>
      </c>
      <c r="G12" s="28">
        <f>COUNTIFS('Plan de test'!$C$5:$C$152,"*"&amp;A12&amp;"*",'Plan de test'!$M$5:$M$152,"Réussi")</f>
        <v/>
      </c>
      <c r="H12" s="28">
        <f>COUNTIFS('Plan de test'!$C$5:$C$152,"*"&amp;A12&amp;"*",'Plan de test'!$M$5:$M$152,"Échec")+COUNTIFS('Plan de test'!$C$5:$C$152,"*"&amp;A12&amp;"*",'Plan de test'!$M$5:$M$152,"Bloqué")</f>
        <v/>
      </c>
      <c r="I12" s="28">
        <f>F12-G12-H12-COUNTIFS('Plan de test'!$C$5:$C$152,"*"&amp;A12&amp;"*",'Plan de test'!$M$5:$M$152,"Non livré")</f>
        <v/>
      </c>
      <c r="J12" s="28">
        <f>IF(F12=0,"Aucun cas",IF(H12&gt;0,"Échec",IF(G12=F12,"Validée",IF(G12+COUNTIFS('Plan de test'!$C$5:$C$152,"*"&amp;A12&amp;"*",'Plan de test'!$M$5:$M$152,"Non livré")=F12,"Non livrée","En cours"))))</f>
        <v/>
      </c>
      <c r="K12" s="27" t="inlineStr"/>
    </row>
    <row r="13" ht="254.8" customHeight="1">
      <c r="A13" s="44" t="inlineStr">
        <is>
          <t>US-010</t>
        </is>
      </c>
      <c r="B13" s="28" t="inlineStr">
        <is>
          <t>EP-02</t>
        </is>
      </c>
      <c r="C13" s="27" t="inlineStr">
        <is>
          <t>Créer un modèle avec ses prix</t>
        </is>
      </c>
      <c r="D13" s="27" t="inlineStr">
        <is>
          <t>Code article unique ; minimum ≤ vente</t>
        </is>
      </c>
      <c r="E13" s="28" t="inlineStr">
        <is>
          <t>Livré</t>
        </is>
      </c>
      <c r="F13" s="28">
        <f>COUNTIF('Plan de test'!$C$5:$C$152,"*"&amp;A13&amp;"*")</f>
        <v/>
      </c>
      <c r="G13" s="28">
        <f>COUNTIFS('Plan de test'!$C$5:$C$152,"*"&amp;A13&amp;"*",'Plan de test'!$M$5:$M$152,"Réussi")</f>
        <v/>
      </c>
      <c r="H13" s="28">
        <f>COUNTIFS('Plan de test'!$C$5:$C$152,"*"&amp;A13&amp;"*",'Plan de test'!$M$5:$M$152,"Échec")+COUNTIFS('Plan de test'!$C$5:$C$152,"*"&amp;A13&amp;"*",'Plan de test'!$M$5:$M$152,"Bloqué")</f>
        <v/>
      </c>
      <c r="I13" s="28">
        <f>F13-G13-H13-COUNTIFS('Plan de test'!$C$5:$C$152,"*"&amp;A13&amp;"*",'Plan de test'!$M$5:$M$152,"Non livré")</f>
        <v/>
      </c>
      <c r="J13" s="28">
        <f>IF(F13=0,"Aucun cas",IF(H13&gt;0,"Échec",IF(G13=F13,"Validée",IF(G13+COUNTIFS('Plan de test'!$C$5:$C$152,"*"&amp;A13&amp;"*",'Plan de test'!$M$5:$M$152,"Non livré")=F13,"Non livrée","En cours"))))</f>
        <v/>
      </c>
      <c r="K13" s="27" t="inlineStr"/>
    </row>
    <row r="14" ht="254.8" customHeight="1">
      <c r="A14" s="44" t="inlineStr">
        <is>
          <t>US-011</t>
        </is>
      </c>
      <c r="B14" s="28" t="inlineStr">
        <is>
          <t>EP-02</t>
        </is>
      </c>
      <c r="C14" s="27" t="inlineStr">
        <is>
          <t>Changer un prix avec une date d'effet</t>
        </is>
      </c>
      <c r="D14" s="27" t="inlineStr">
        <is>
          <t>Commandes validées gardent leur prix ; historique visible</t>
        </is>
      </c>
      <c r="E14" s="28" t="inlineStr">
        <is>
          <t>Partiel</t>
        </is>
      </c>
      <c r="F14" s="28">
        <f>COUNTIF('Plan de test'!$C$5:$C$152,"*"&amp;A14&amp;"*")</f>
        <v/>
      </c>
      <c r="G14" s="28">
        <f>COUNTIFS('Plan de test'!$C$5:$C$152,"*"&amp;A14&amp;"*",'Plan de test'!$M$5:$M$152,"Réussi")</f>
        <v/>
      </c>
      <c r="H14" s="28">
        <f>COUNTIFS('Plan de test'!$C$5:$C$152,"*"&amp;A14&amp;"*",'Plan de test'!$M$5:$M$152,"Échec")+COUNTIFS('Plan de test'!$C$5:$C$152,"*"&amp;A14&amp;"*",'Plan de test'!$M$5:$M$152,"Bloqué")</f>
        <v/>
      </c>
      <c r="I14" s="28">
        <f>F14-G14-H14-COUNTIFS('Plan de test'!$C$5:$C$152,"*"&amp;A14&amp;"*",'Plan de test'!$M$5:$M$152,"Non livré")</f>
        <v/>
      </c>
      <c r="J14" s="28">
        <f>IF(F14=0,"Aucun cas",IF(H14&gt;0,"Échec",IF(G14=F14,"Validée",IF(G14+COUNTIFS('Plan de test'!$C$5:$C$152,"*"&amp;A14&amp;"*",'Plan de test'!$M$5:$M$152,"Non livré")=F14,"Non livrée","En cours"))))</f>
        <v/>
      </c>
      <c r="K14" s="27" t="inlineStr">
        <is>
          <t>Historique livré ; commandes clients au lot 2</t>
        </is>
      </c>
    </row>
    <row r="15" ht="254.8" customHeight="1">
      <c r="A15" s="44" t="inlineStr">
        <is>
          <t>US-012</t>
        </is>
      </c>
      <c r="B15" s="28" t="inlineStr">
        <is>
          <t>EP-02</t>
        </is>
      </c>
      <c r="C15" s="27" t="inlineStr">
        <is>
          <t>Fiche châssis : toute son histoire</t>
        </is>
      </c>
      <c r="D15" s="27" t="inlineStr">
        <is>
          <t>Statut, emplacement, événements datés avec auteur ; coût masqué sans permission</t>
        </is>
      </c>
      <c r="E15" s="28" t="inlineStr">
        <is>
          <t>Livré</t>
        </is>
      </c>
      <c r="F15" s="28">
        <f>COUNTIF('Plan de test'!$C$5:$C$152,"*"&amp;A15&amp;"*")</f>
        <v/>
      </c>
      <c r="G15" s="28">
        <f>COUNTIFS('Plan de test'!$C$5:$C$152,"*"&amp;A15&amp;"*",'Plan de test'!$M$5:$M$152,"Réussi")</f>
        <v/>
      </c>
      <c r="H15" s="28">
        <f>COUNTIFS('Plan de test'!$C$5:$C$152,"*"&amp;A15&amp;"*",'Plan de test'!$M$5:$M$152,"Échec")+COUNTIFS('Plan de test'!$C$5:$C$152,"*"&amp;A15&amp;"*",'Plan de test'!$M$5:$M$152,"Bloqué")</f>
        <v/>
      </c>
      <c r="I15" s="28">
        <f>F15-G15-H15-COUNTIFS('Plan de test'!$C$5:$C$152,"*"&amp;A15&amp;"*",'Plan de test'!$M$5:$M$152,"Non livré")</f>
        <v/>
      </c>
      <c r="J15" s="28">
        <f>IF(F15=0,"Aucun cas",IF(H15&gt;0,"Échec",IF(G15=F15,"Validée",IF(G15+COUNTIFS('Plan de test'!$C$5:$C$152,"*"&amp;A15&amp;"*",'Plan de test'!$M$5:$M$152,"Non livré")=F15,"Non livrée","En cours"))))</f>
        <v/>
      </c>
      <c r="K15" s="27" t="inlineStr"/>
    </row>
    <row r="16" ht="254.8" customHeight="1">
      <c r="A16" s="44" t="inlineStr">
        <is>
          <t>US-013</t>
        </is>
      </c>
      <c r="B16" s="28" t="inlineStr">
        <is>
          <t>EP-02</t>
        </is>
      </c>
      <c r="C16" s="27" t="inlineStr">
        <is>
          <t>Corriger un numéro de châssis avec validation d'un collègue</t>
        </is>
      </c>
      <c r="D16" s="27" t="inlineStr">
        <is>
          <t>Motif ; ancien numéro trouvable ; refus si facturé</t>
        </is>
      </c>
      <c r="E16" s="28" t="inlineStr">
        <is>
          <t>Partiel</t>
        </is>
      </c>
      <c r="F16" s="28">
        <f>COUNTIF('Plan de test'!$C$5:$C$152,"*"&amp;A16&amp;"*")</f>
        <v/>
      </c>
      <c r="G16" s="28">
        <f>COUNTIFS('Plan de test'!$C$5:$C$152,"*"&amp;A16&amp;"*",'Plan de test'!$M$5:$M$152,"Réussi")</f>
        <v/>
      </c>
      <c r="H16" s="28">
        <f>COUNTIFS('Plan de test'!$C$5:$C$152,"*"&amp;A16&amp;"*",'Plan de test'!$M$5:$M$152,"Échec")+COUNTIFS('Plan de test'!$C$5:$C$152,"*"&amp;A16&amp;"*",'Plan de test'!$M$5:$M$152,"Bloqué")</f>
        <v/>
      </c>
      <c r="I16" s="28">
        <f>F16-G16-H16-COUNTIFS('Plan de test'!$C$5:$C$152,"*"&amp;A16&amp;"*",'Plan de test'!$M$5:$M$152,"Non livré")</f>
        <v/>
      </c>
      <c r="J16" s="28">
        <f>IF(F16=0,"Aucun cas",IF(H16&gt;0,"Échec",IF(G16=F16,"Validée",IF(G16+COUNTIFS('Plan de test'!$C$5:$C$152,"*"&amp;A16&amp;"*",'Plan de test'!$M$5:$M$152,"Non livré")=F16,"Non livrée","En cours"))))</f>
        <v/>
      </c>
      <c r="K16" s="27" t="inlineStr">
        <is>
          <t>Règle « facturé » au lot 2</t>
        </is>
      </c>
    </row>
    <row r="17" ht="254.8" customHeight="1">
      <c r="A17" s="44" t="inlineStr">
        <is>
          <t>US-020</t>
        </is>
      </c>
      <c r="B17" s="28" t="inlineStr">
        <is>
          <t>EP-03</t>
        </is>
      </c>
      <c r="C17" s="27" t="inlineStr">
        <is>
          <t>Créer une commande fournisseur</t>
        </is>
      </c>
      <c r="D17" s="27" t="inlineStr">
        <is>
          <t>Le stock ne change pas ; statut COMMANDÉE</t>
        </is>
      </c>
      <c r="E17" s="28" t="inlineStr">
        <is>
          <t>Livré</t>
        </is>
      </c>
      <c r="F17" s="28">
        <f>COUNTIF('Plan de test'!$C$5:$C$152,"*"&amp;A17&amp;"*")</f>
        <v/>
      </c>
      <c r="G17" s="28">
        <f>COUNTIFS('Plan de test'!$C$5:$C$152,"*"&amp;A17&amp;"*",'Plan de test'!$M$5:$M$152,"Réussi")</f>
        <v/>
      </c>
      <c r="H17" s="28">
        <f>COUNTIFS('Plan de test'!$C$5:$C$152,"*"&amp;A17&amp;"*",'Plan de test'!$M$5:$M$152,"Échec")+COUNTIFS('Plan de test'!$C$5:$C$152,"*"&amp;A17&amp;"*",'Plan de test'!$M$5:$M$152,"Bloqué")</f>
        <v/>
      </c>
      <c r="I17" s="28">
        <f>F17-G17-H17-COUNTIFS('Plan de test'!$C$5:$C$152,"*"&amp;A17&amp;"*",'Plan de test'!$M$5:$M$152,"Non livré")</f>
        <v/>
      </c>
      <c r="J17" s="28">
        <f>IF(F17=0,"Aucun cas",IF(H17&gt;0,"Échec",IF(G17=F17,"Validée",IF(G17+COUNTIFS('Plan de test'!$C$5:$C$152,"*"&amp;A17&amp;"*",'Plan de test'!$M$5:$M$152,"Non livré")=F17,"Non livrée","En cours"))))</f>
        <v/>
      </c>
      <c r="K17" s="27" t="inlineStr"/>
    </row>
    <row r="18" ht="254.8" customHeight="1">
      <c r="A18" s="44" t="inlineStr">
        <is>
          <t>US-021</t>
        </is>
      </c>
      <c r="B18" s="28" t="inlineStr">
        <is>
          <t>EP-03</t>
        </is>
      </c>
      <c r="C18" s="27" t="inlineStr">
        <is>
          <t>Faire avancer le dossier d'étape en étape</t>
        </is>
      </c>
      <c r="D18" s="27" t="inlineStr">
        <is>
          <t>Date et auteur de chaque étape ; étape sautée refusée</t>
        </is>
      </c>
      <c r="E18" s="28" t="inlineStr">
        <is>
          <t>Livré</t>
        </is>
      </c>
      <c r="F18" s="28">
        <f>COUNTIF('Plan de test'!$C$5:$C$152,"*"&amp;A18&amp;"*")</f>
        <v/>
      </c>
      <c r="G18" s="28">
        <f>COUNTIFS('Plan de test'!$C$5:$C$152,"*"&amp;A18&amp;"*",'Plan de test'!$M$5:$M$152,"Réussi")</f>
        <v/>
      </c>
      <c r="H18" s="28">
        <f>COUNTIFS('Plan de test'!$C$5:$C$152,"*"&amp;A18&amp;"*",'Plan de test'!$M$5:$M$152,"Échec")+COUNTIFS('Plan de test'!$C$5:$C$152,"*"&amp;A18&amp;"*",'Plan de test'!$M$5:$M$152,"Bloqué")</f>
        <v/>
      </c>
      <c r="I18" s="28">
        <f>F18-G18-H18-COUNTIFS('Plan de test'!$C$5:$C$152,"*"&amp;A18&amp;"*",'Plan de test'!$M$5:$M$152,"Non livré")</f>
        <v/>
      </c>
      <c r="J18" s="28">
        <f>IF(F18=0,"Aucun cas",IF(H18&gt;0,"Échec",IF(G18=F18,"Validée",IF(G18+COUNTIFS('Plan de test'!$C$5:$C$152,"*"&amp;A18&amp;"*",'Plan de test'!$M$5:$M$152,"Non livré")=F18,"Non livrée","En cours"))))</f>
        <v/>
      </c>
      <c r="K18" s="27" t="inlineStr"/>
    </row>
    <row r="19" ht="254.8" customHeight="1">
      <c r="A19" s="44" t="inlineStr">
        <is>
          <t>US-022</t>
        </is>
      </c>
      <c r="B19" s="28" t="inlineStr">
        <is>
          <t>EP-03</t>
        </is>
      </c>
      <c r="C19" s="27" t="inlineStr">
        <is>
          <t>Saisir les frais d'un arrivage avec leurs pièces</t>
        </is>
      </c>
      <c r="D19" s="27" t="inlineStr">
        <is>
          <t>Frais sans pièce signalé ; coût provisoire recalculé</t>
        </is>
      </c>
      <c r="E19" s="28" t="inlineStr">
        <is>
          <t>Livré</t>
        </is>
      </c>
      <c r="F19" s="28">
        <f>COUNTIF('Plan de test'!$C$5:$C$152,"*"&amp;A19&amp;"*")</f>
        <v/>
      </c>
      <c r="G19" s="28">
        <f>COUNTIFS('Plan de test'!$C$5:$C$152,"*"&amp;A19&amp;"*",'Plan de test'!$M$5:$M$152,"Réussi")</f>
        <v/>
      </c>
      <c r="H19" s="28">
        <f>COUNTIFS('Plan de test'!$C$5:$C$152,"*"&amp;A19&amp;"*",'Plan de test'!$M$5:$M$152,"Échec")+COUNTIFS('Plan de test'!$C$5:$C$152,"*"&amp;A19&amp;"*",'Plan de test'!$M$5:$M$152,"Bloqué")</f>
        <v/>
      </c>
      <c r="I19" s="28">
        <f>F19-G19-H19-COUNTIFS('Plan de test'!$C$5:$C$152,"*"&amp;A19&amp;"*",'Plan de test'!$M$5:$M$152,"Non livré")</f>
        <v/>
      </c>
      <c r="J19" s="28">
        <f>IF(F19=0,"Aucun cas",IF(H19&gt;0,"Échec",IF(G19=F19,"Validée",IF(G19+COUNTIFS('Plan de test'!$C$5:$C$152,"*"&amp;A19&amp;"*",'Plan de test'!$M$5:$M$152,"Non livré")=F19,"Non livrée","En cours"))))</f>
        <v/>
      </c>
      <c r="K19" s="27" t="inlineStr"/>
    </row>
    <row r="20" ht="254.8" customHeight="1">
      <c r="A20" s="44" t="inlineStr">
        <is>
          <t>US-023</t>
        </is>
      </c>
      <c r="B20" s="28" t="inlineStr">
        <is>
          <t>EP-03</t>
        </is>
      </c>
      <c r="C20" s="27" t="inlineStr">
        <is>
          <t>Importer la liste de colisage</t>
        </is>
      </c>
      <c r="D20" s="27" t="inlineStr">
        <is>
          <t>Châssis EN TRANSIT FOURNISSEUR ; doublons rejetés avec leur ligne</t>
        </is>
      </c>
      <c r="E20" s="28" t="inlineStr">
        <is>
          <t>Livré</t>
        </is>
      </c>
      <c r="F20" s="28">
        <f>COUNTIF('Plan de test'!$C$5:$C$152,"*"&amp;A20&amp;"*")</f>
        <v/>
      </c>
      <c r="G20" s="28">
        <f>COUNTIFS('Plan de test'!$C$5:$C$152,"*"&amp;A20&amp;"*",'Plan de test'!$M$5:$M$152,"Réussi")</f>
        <v/>
      </c>
      <c r="H20" s="28">
        <f>COUNTIFS('Plan de test'!$C$5:$C$152,"*"&amp;A20&amp;"*",'Plan de test'!$M$5:$M$152,"Échec")+COUNTIFS('Plan de test'!$C$5:$C$152,"*"&amp;A20&amp;"*",'Plan de test'!$M$5:$M$152,"Bloqué")</f>
        <v/>
      </c>
      <c r="I20" s="28">
        <f>F20-G20-H20-COUNTIFS('Plan de test'!$C$5:$C$152,"*"&amp;A20&amp;"*",'Plan de test'!$M$5:$M$152,"Non livré")</f>
        <v/>
      </c>
      <c r="J20" s="28">
        <f>IF(F20=0,"Aucun cas",IF(H20&gt;0,"Échec",IF(G20=F20,"Validée",IF(G20+COUNTIFS('Plan de test'!$C$5:$C$152,"*"&amp;A20&amp;"*",'Plan de test'!$M$5:$M$152,"Non livré")=F20,"Non livrée","En cours"))))</f>
        <v/>
      </c>
      <c r="K20" s="27" t="inlineStr"/>
    </row>
    <row r="21" ht="254.8" customHeight="1">
      <c r="A21" s="44" t="inlineStr">
        <is>
          <t>US-024</t>
        </is>
      </c>
      <c r="B21" s="28" t="inlineStr">
        <is>
          <t>EP-03</t>
        </is>
      </c>
      <c r="C21" s="27" t="inlineStr">
        <is>
          <t>Scanner les châssis reçus avec son téléphone</t>
        </is>
      </c>
      <c r="D21" s="27" t="inlineStr">
        <is>
          <t>Doublon, format, modèle inattendu signalés ; compteur à jour</t>
        </is>
      </c>
      <c r="E21" s="28" t="inlineStr">
        <is>
          <t>Partiel</t>
        </is>
      </c>
      <c r="F21" s="28">
        <f>COUNTIF('Plan de test'!$C$5:$C$152,"*"&amp;A21&amp;"*")</f>
        <v/>
      </c>
      <c r="G21" s="28">
        <f>COUNTIFS('Plan de test'!$C$5:$C$152,"*"&amp;A21&amp;"*",'Plan de test'!$M$5:$M$152,"Réussi")</f>
        <v/>
      </c>
      <c r="H21" s="28">
        <f>COUNTIFS('Plan de test'!$C$5:$C$152,"*"&amp;A21&amp;"*",'Plan de test'!$M$5:$M$152,"Échec")+COUNTIFS('Plan de test'!$C$5:$C$152,"*"&amp;A21&amp;"*",'Plan de test'!$M$5:$M$152,"Bloqué")</f>
        <v/>
      </c>
      <c r="I21" s="28">
        <f>F21-G21-H21-COUNTIFS('Plan de test'!$C$5:$C$152,"*"&amp;A21&amp;"*",'Plan de test'!$M$5:$M$152,"Non livré")</f>
        <v/>
      </c>
      <c r="J21" s="28">
        <f>IF(F21=0,"Aucun cas",IF(H21&gt;0,"Échec",IF(G21=F21,"Validée",IF(G21+COUNTIFS('Plan de test'!$C$5:$C$152,"*"&amp;A21&amp;"*",'Plan de test'!$M$5:$M$152,"Non livré")=F21,"Non livrée","En cours"))))</f>
        <v/>
      </c>
      <c r="K21" s="27" t="inlineStr">
        <is>
          <t>Saisie clavier/lecteur livrée ; caméra à venir</t>
        </is>
      </c>
    </row>
    <row r="22" ht="254.8" customHeight="1">
      <c r="A22" s="44" t="inlineStr">
        <is>
          <t>US-025</t>
        </is>
      </c>
      <c r="B22" s="28" t="inlineStr">
        <is>
          <t>EP-03</t>
        </is>
      </c>
      <c r="C22" s="27" t="inlineStr">
        <is>
          <t>Valider la réception</t>
        </is>
      </c>
      <c r="D22" s="27" t="inlineStr">
        <is>
          <t>Stock inchangé avant, +N après ; PV généré</t>
        </is>
      </c>
      <c r="E22" s="28" t="inlineStr">
        <is>
          <t>Livré</t>
        </is>
      </c>
      <c r="F22" s="28">
        <f>COUNTIF('Plan de test'!$C$5:$C$152,"*"&amp;A22&amp;"*")</f>
        <v/>
      </c>
      <c r="G22" s="28">
        <f>COUNTIFS('Plan de test'!$C$5:$C$152,"*"&amp;A22&amp;"*",'Plan de test'!$M$5:$M$152,"Réussi")</f>
        <v/>
      </c>
      <c r="H22" s="28">
        <f>COUNTIFS('Plan de test'!$C$5:$C$152,"*"&amp;A22&amp;"*",'Plan de test'!$M$5:$M$152,"Échec")+COUNTIFS('Plan de test'!$C$5:$C$152,"*"&amp;A22&amp;"*",'Plan de test'!$M$5:$M$152,"Bloqué")</f>
        <v/>
      </c>
      <c r="I22" s="28">
        <f>F22-G22-H22-COUNTIFS('Plan de test'!$C$5:$C$152,"*"&amp;A22&amp;"*",'Plan de test'!$M$5:$M$152,"Non livré")</f>
        <v/>
      </c>
      <c r="J22" s="28">
        <f>IF(F22=0,"Aucun cas",IF(H22&gt;0,"Échec",IF(G22=F22,"Validée",IF(G22+COUNTIFS('Plan de test'!$C$5:$C$152,"*"&amp;A22&amp;"*",'Plan de test'!$M$5:$M$152,"Non livré")=F22,"Non livrée","En cours"))))</f>
        <v/>
      </c>
      <c r="K22" s="27" t="inlineStr"/>
    </row>
    <row r="23" ht="254.8" customHeight="1">
      <c r="A23" s="44" t="inlineStr">
        <is>
          <t>US-026</t>
        </is>
      </c>
      <c r="B23" s="28" t="inlineStr">
        <is>
          <t>EP-03</t>
        </is>
      </c>
      <c r="C23" s="27" t="inlineStr">
        <is>
          <t>Recevoir un arrivage en plusieurs fois</t>
        </is>
      </c>
      <c r="D23" s="27" t="inlineStr">
        <is>
          <t>RÉCEPTION PARTIELLE ; reliquat ; seconde réception</t>
        </is>
      </c>
      <c r="E23" s="28" t="inlineStr">
        <is>
          <t>Livré</t>
        </is>
      </c>
      <c r="F23" s="28">
        <f>COUNTIF('Plan de test'!$C$5:$C$152,"*"&amp;A23&amp;"*")</f>
        <v/>
      </c>
      <c r="G23" s="28">
        <f>COUNTIFS('Plan de test'!$C$5:$C$152,"*"&amp;A23&amp;"*",'Plan de test'!$M$5:$M$152,"Réussi")</f>
        <v/>
      </c>
      <c r="H23" s="28">
        <f>COUNTIFS('Plan de test'!$C$5:$C$152,"*"&amp;A23&amp;"*",'Plan de test'!$M$5:$M$152,"Échec")+COUNTIFS('Plan de test'!$C$5:$C$152,"*"&amp;A23&amp;"*",'Plan de test'!$M$5:$M$152,"Bloqué")</f>
        <v/>
      </c>
      <c r="I23" s="28">
        <f>F23-G23-H23-COUNTIFS('Plan de test'!$C$5:$C$152,"*"&amp;A23&amp;"*",'Plan de test'!$M$5:$M$152,"Non livré")</f>
        <v/>
      </c>
      <c r="J23" s="28">
        <f>IF(F23=0,"Aucun cas",IF(H23&gt;0,"Échec",IF(G23=F23,"Validée",IF(G23+COUNTIFS('Plan de test'!$C$5:$C$152,"*"&amp;A23&amp;"*",'Plan de test'!$M$5:$M$152,"Non livré")=F23,"Non livrée","En cours"))))</f>
        <v/>
      </c>
      <c r="K23" s="27" t="inlineStr"/>
    </row>
    <row r="24" ht="254.8" customHeight="1">
      <c r="A24" s="44" t="inlineStr">
        <is>
          <t>US-027</t>
        </is>
      </c>
      <c r="B24" s="28" t="inlineStr">
        <is>
          <t>EP-03</t>
        </is>
      </c>
      <c r="C24" s="27" t="inlineStr">
        <is>
          <t>Signaler une moto endommagée à la réception</t>
        </is>
      </c>
      <c r="D24" s="27" t="inlineStr">
        <is>
          <t>Entre BLOQUÉE avec sa photo ; non proposée à la vente</t>
        </is>
      </c>
      <c r="E24" s="28" t="inlineStr">
        <is>
          <t>Partiel</t>
        </is>
      </c>
      <c r="F24" s="28">
        <f>COUNTIF('Plan de test'!$C$5:$C$152,"*"&amp;A24&amp;"*")</f>
        <v/>
      </c>
      <c r="G24" s="28">
        <f>COUNTIFS('Plan de test'!$C$5:$C$152,"*"&amp;A24&amp;"*",'Plan de test'!$M$5:$M$152,"Réussi")</f>
        <v/>
      </c>
      <c r="H24" s="28">
        <f>COUNTIFS('Plan de test'!$C$5:$C$152,"*"&amp;A24&amp;"*",'Plan de test'!$M$5:$M$152,"Échec")+COUNTIFS('Plan de test'!$C$5:$C$152,"*"&amp;A24&amp;"*",'Plan de test'!$M$5:$M$152,"Bloqué")</f>
        <v/>
      </c>
      <c r="I24" s="28">
        <f>F24-G24-H24-COUNTIFS('Plan de test'!$C$5:$C$152,"*"&amp;A24&amp;"*",'Plan de test'!$M$5:$M$152,"Non livré")</f>
        <v/>
      </c>
      <c r="J24" s="28">
        <f>IF(F24=0,"Aucun cas",IF(H24&gt;0,"Échec",IF(G24=F24,"Validée",IF(G24+COUNTIFS('Plan de test'!$C$5:$C$152,"*"&amp;A24&amp;"*",'Plan de test'!$M$5:$M$152,"Non livré")=F24,"Non livrée","En cours"))))</f>
        <v/>
      </c>
      <c r="K24" s="27" t="inlineStr">
        <is>
          <t>Motif texte livré ; photo avec le module Documents</t>
        </is>
      </c>
    </row>
    <row r="25" ht="254.8" customHeight="1">
      <c r="A25" s="44" t="inlineStr">
        <is>
          <t>US-040</t>
        </is>
      </c>
      <c r="B25" s="28" t="inlineStr">
        <is>
          <t>EP-05</t>
        </is>
      </c>
      <c r="C25" s="27" t="inlineStr">
        <is>
          <t>Voir le stock physique, réservé, disponible, bloqué et en transit par modèle</t>
        </is>
      </c>
      <c r="D25" s="27" t="inlineStr">
        <is>
          <t>100 physiques dont 20 réservées : 80 disponibles</t>
        </is>
      </c>
      <c r="E25" s="28" t="inlineStr">
        <is>
          <t>Livré</t>
        </is>
      </c>
      <c r="F25" s="28">
        <f>COUNTIF('Plan de test'!$C$5:$C$152,"*"&amp;A25&amp;"*")</f>
        <v/>
      </c>
      <c r="G25" s="28">
        <f>COUNTIFS('Plan de test'!$C$5:$C$152,"*"&amp;A25&amp;"*",'Plan de test'!$M$5:$M$152,"Réussi")</f>
        <v/>
      </c>
      <c r="H25" s="28">
        <f>COUNTIFS('Plan de test'!$C$5:$C$152,"*"&amp;A25&amp;"*",'Plan de test'!$M$5:$M$152,"Échec")+COUNTIFS('Plan de test'!$C$5:$C$152,"*"&amp;A25&amp;"*",'Plan de test'!$M$5:$M$152,"Bloqué")</f>
        <v/>
      </c>
      <c r="I25" s="28">
        <f>F25-G25-H25-COUNTIFS('Plan de test'!$C$5:$C$152,"*"&amp;A25&amp;"*",'Plan de test'!$M$5:$M$152,"Non livré")</f>
        <v/>
      </c>
      <c r="J25" s="28">
        <f>IF(F25=0,"Aucun cas",IF(H25&gt;0,"Échec",IF(G25=F25,"Validée",IF(G25+COUNTIFS('Plan de test'!$C$5:$C$152,"*"&amp;A25&amp;"*",'Plan de test'!$M$5:$M$152,"Non livré")=F25,"Non livrée","En cours"))))</f>
        <v/>
      </c>
      <c r="K25" s="27" t="inlineStr"/>
    </row>
    <row r="26" ht="254.8" customHeight="1">
      <c r="A26" s="44" t="inlineStr">
        <is>
          <t>US-041</t>
        </is>
      </c>
      <c r="B26" s="28" t="inlineStr">
        <is>
          <t>EP-05</t>
        </is>
      </c>
      <c r="C26" s="27" t="inlineStr">
        <is>
          <t>Voir le stock global consolidé</t>
        </is>
      </c>
      <c r="D26" s="27" t="inlineStr">
        <is>
          <t>Transit compté une fois ; total = somme des emplacements</t>
        </is>
      </c>
      <c r="E26" s="28" t="inlineStr">
        <is>
          <t>Livré</t>
        </is>
      </c>
      <c r="F26" s="28">
        <f>COUNTIF('Plan de test'!$C$5:$C$152,"*"&amp;A26&amp;"*")</f>
        <v/>
      </c>
      <c r="G26" s="28">
        <f>COUNTIFS('Plan de test'!$C$5:$C$152,"*"&amp;A26&amp;"*",'Plan de test'!$M$5:$M$152,"Réussi")</f>
        <v/>
      </c>
      <c r="H26" s="28">
        <f>COUNTIFS('Plan de test'!$C$5:$C$152,"*"&amp;A26&amp;"*",'Plan de test'!$M$5:$M$152,"Échec")+COUNTIFS('Plan de test'!$C$5:$C$152,"*"&amp;A26&amp;"*",'Plan de test'!$M$5:$M$152,"Bloqué")</f>
        <v/>
      </c>
      <c r="I26" s="28">
        <f>F26-G26-H26-COUNTIFS('Plan de test'!$C$5:$C$152,"*"&amp;A26&amp;"*",'Plan de test'!$M$5:$M$152,"Non livré")</f>
        <v/>
      </c>
      <c r="J26" s="28">
        <f>IF(F26=0,"Aucun cas",IF(H26&gt;0,"Échec",IF(G26=F26,"Validée",IF(G26+COUNTIFS('Plan de test'!$C$5:$C$152,"*"&amp;A26&amp;"*",'Plan de test'!$M$5:$M$152,"Non livré")=F26,"Non livrée","En cours"))))</f>
        <v/>
      </c>
      <c r="K26" s="27" t="inlineStr"/>
    </row>
    <row r="27" ht="254.8" customHeight="1">
      <c r="A27" s="44" t="inlineStr">
        <is>
          <t>US-042</t>
        </is>
      </c>
      <c r="B27" s="28" t="inlineStr">
        <is>
          <t>EP-05</t>
        </is>
      </c>
      <c r="C27" s="27" t="inlineStr">
        <is>
          <t>Bloquer un châssis en litige</t>
        </is>
      </c>
      <c r="D27" s="27" t="inlineStr">
        <is>
          <t>Motif et pièce obligatoires ; non proposé à la vente ; déblocage tracé</t>
        </is>
      </c>
      <c r="E27" s="28" t="inlineStr">
        <is>
          <t>Partiel</t>
        </is>
      </c>
      <c r="F27" s="28">
        <f>COUNTIF('Plan de test'!$C$5:$C$152,"*"&amp;A27&amp;"*")</f>
        <v/>
      </c>
      <c r="G27" s="28">
        <f>COUNTIFS('Plan de test'!$C$5:$C$152,"*"&amp;A27&amp;"*",'Plan de test'!$M$5:$M$152,"Réussi")</f>
        <v/>
      </c>
      <c r="H27" s="28">
        <f>COUNTIFS('Plan de test'!$C$5:$C$152,"*"&amp;A27&amp;"*",'Plan de test'!$M$5:$M$152,"Échec")+COUNTIFS('Plan de test'!$C$5:$C$152,"*"&amp;A27&amp;"*",'Plan de test'!$M$5:$M$152,"Bloqué")</f>
        <v/>
      </c>
      <c r="I27" s="28">
        <f>F27-G27-H27-COUNTIFS('Plan de test'!$C$5:$C$152,"*"&amp;A27&amp;"*",'Plan de test'!$M$5:$M$152,"Non livré")</f>
        <v/>
      </c>
      <c r="J27" s="28">
        <f>IF(F27=0,"Aucun cas",IF(H27&gt;0,"Échec",IF(G27=F27,"Validée",IF(G27+COUNTIFS('Plan de test'!$C$5:$C$152,"*"&amp;A27&amp;"*",'Plan de test'!$M$5:$M$152,"Non livré")=F27,"Non livrée","En cours"))))</f>
        <v/>
      </c>
      <c r="K27" s="27" t="inlineStr">
        <is>
          <t>Pièce = référence texte ; dépôt de fichier avec le module Documents</t>
        </is>
      </c>
    </row>
    <row r="28" ht="254.8" customHeight="1">
      <c r="A28" s="44" t="inlineStr">
        <is>
          <t>US-043</t>
        </is>
      </c>
      <c r="B28" s="28" t="inlineStr">
        <is>
          <t>EP-05</t>
        </is>
      </c>
      <c r="C28" s="27" t="inlineStr">
        <is>
          <t>Créer puis expédier un transfert vers une boutique</t>
        </is>
      </c>
      <c r="D28" s="27" t="inlineStr">
        <is>
          <t>Création sans mouvement ; expédition : stock source −N, EN TRANSIT INTERNE</t>
        </is>
      </c>
      <c r="E28" s="28" t="inlineStr">
        <is>
          <t>Livré</t>
        </is>
      </c>
      <c r="F28" s="28">
        <f>COUNTIF('Plan de test'!$C$5:$C$152,"*"&amp;A28&amp;"*")</f>
        <v/>
      </c>
      <c r="G28" s="28">
        <f>COUNTIFS('Plan de test'!$C$5:$C$152,"*"&amp;A28&amp;"*",'Plan de test'!$M$5:$M$152,"Réussi")</f>
        <v/>
      </c>
      <c r="H28" s="28">
        <f>COUNTIFS('Plan de test'!$C$5:$C$152,"*"&amp;A28&amp;"*",'Plan de test'!$M$5:$M$152,"Échec")+COUNTIFS('Plan de test'!$C$5:$C$152,"*"&amp;A28&amp;"*",'Plan de test'!$M$5:$M$152,"Bloqué")</f>
        <v/>
      </c>
      <c r="I28" s="28">
        <f>F28-G28-H28-COUNTIFS('Plan de test'!$C$5:$C$152,"*"&amp;A28&amp;"*",'Plan de test'!$M$5:$M$152,"Non livré")</f>
        <v/>
      </c>
      <c r="J28" s="28">
        <f>IF(F28=0,"Aucun cas",IF(H28&gt;0,"Échec",IF(G28=F28,"Validée",IF(G28+COUNTIFS('Plan de test'!$C$5:$C$152,"*"&amp;A28&amp;"*",'Plan de test'!$M$5:$M$152,"Non livré")=F28,"Non livrée","En cours"))))</f>
        <v/>
      </c>
      <c r="K28" s="27" t="inlineStr"/>
    </row>
    <row r="29" ht="254.8" customHeight="1">
      <c r="A29" s="44" t="inlineStr">
        <is>
          <t>US-044</t>
        </is>
      </c>
      <c r="B29" s="28" t="inlineStr">
        <is>
          <t>EP-05</t>
        </is>
      </c>
      <c r="C29" s="27" t="inlineStr">
        <is>
          <t>Réceptionner un transfert par scan</t>
        </is>
      </c>
      <c r="D29" s="27" t="inlineStr">
        <is>
          <t>Stock destination +pointés ; manquant en transit et A12 ; non prévu refusé</t>
        </is>
      </c>
      <c r="E29" s="28" t="inlineStr">
        <is>
          <t>Livré</t>
        </is>
      </c>
      <c r="F29" s="28">
        <f>COUNTIF('Plan de test'!$C$5:$C$152,"*"&amp;A29&amp;"*")</f>
        <v/>
      </c>
      <c r="G29" s="28">
        <f>COUNTIFS('Plan de test'!$C$5:$C$152,"*"&amp;A29&amp;"*",'Plan de test'!$M$5:$M$152,"Réussi")</f>
        <v/>
      </c>
      <c r="H29" s="28">
        <f>COUNTIFS('Plan de test'!$C$5:$C$152,"*"&amp;A29&amp;"*",'Plan de test'!$M$5:$M$152,"Échec")+COUNTIFS('Plan de test'!$C$5:$C$152,"*"&amp;A29&amp;"*",'Plan de test'!$M$5:$M$152,"Bloqué")</f>
        <v/>
      </c>
      <c r="I29" s="28">
        <f>F29-G29-H29-COUNTIFS('Plan de test'!$C$5:$C$152,"*"&amp;A29&amp;"*",'Plan de test'!$M$5:$M$152,"Non livré")</f>
        <v/>
      </c>
      <c r="J29" s="28">
        <f>IF(F29=0,"Aucun cas",IF(H29&gt;0,"Échec",IF(G29=F29,"Validée",IF(G29+COUNTIFS('Plan de test'!$C$5:$C$152,"*"&amp;A29&amp;"*",'Plan de test'!$M$5:$M$152,"Non livré")=F29,"Non livrée","En cours"))))</f>
        <v/>
      </c>
      <c r="K29" s="27" t="inlineStr"/>
    </row>
    <row r="30" ht="254.8" customHeight="1">
      <c r="A30" s="44" t="inlineStr">
        <is>
          <t>US-045</t>
        </is>
      </c>
      <c r="B30" s="28" t="inlineStr">
        <is>
          <t>EP-05</t>
        </is>
      </c>
      <c r="C30" s="27" t="inlineStr">
        <is>
          <t>Être alerté d'un transfert non réceptionné</t>
        </is>
      </c>
      <c r="D30" s="27" t="inlineStr">
        <is>
          <t>Alerte après le délai paramétré</t>
        </is>
      </c>
      <c r="E30" s="28" t="inlineStr">
        <is>
          <t>Livré</t>
        </is>
      </c>
      <c r="F30" s="28">
        <f>COUNTIF('Plan de test'!$C$5:$C$152,"*"&amp;A30&amp;"*")</f>
        <v/>
      </c>
      <c r="G30" s="28">
        <f>COUNTIFS('Plan de test'!$C$5:$C$152,"*"&amp;A30&amp;"*",'Plan de test'!$M$5:$M$152,"Réussi")</f>
        <v/>
      </c>
      <c r="H30" s="28">
        <f>COUNTIFS('Plan de test'!$C$5:$C$152,"*"&amp;A30&amp;"*",'Plan de test'!$M$5:$M$152,"Échec")+COUNTIFS('Plan de test'!$C$5:$C$152,"*"&amp;A30&amp;"*",'Plan de test'!$M$5:$M$152,"Bloqué")</f>
        <v/>
      </c>
      <c r="I30" s="28">
        <f>F30-G30-H30-COUNTIFS('Plan de test'!$C$5:$C$152,"*"&amp;A30&amp;"*",'Plan de test'!$M$5:$M$152,"Non livré")</f>
        <v/>
      </c>
      <c r="J30" s="28">
        <f>IF(F30=0,"Aucun cas",IF(H30&gt;0,"Échec",IF(G30=F30,"Validée",IF(G30+COUNTIFS('Plan de test'!$C$5:$C$152,"*"&amp;A30&amp;"*",'Plan de test'!$M$5:$M$152,"Non livré")=F30,"Non livrée","En cours"))))</f>
        <v/>
      </c>
      <c r="K30" s="27" t="inlineStr"/>
    </row>
    <row r="31" ht="254.8" customHeight="1">
      <c r="A31" s="44" t="inlineStr">
        <is>
          <t>US-046</t>
        </is>
      </c>
      <c r="B31" s="28" t="inlineStr">
        <is>
          <t>EP-05</t>
        </is>
      </c>
      <c r="C31" s="27" t="inlineStr">
        <is>
          <t>Consulter le stock à une date passée</t>
        </is>
      </c>
      <c r="D31" s="27" t="inlineStr">
        <is>
          <t>Stock reconstitué égal au stock de fin de période</t>
        </is>
      </c>
      <c r="E31" s="28" t="inlineStr">
        <is>
          <t>À livrer</t>
        </is>
      </c>
      <c r="F31" s="28">
        <f>COUNTIF('Plan de test'!$C$5:$C$152,"*"&amp;A31&amp;"*")</f>
        <v/>
      </c>
      <c r="G31" s="28">
        <f>COUNTIFS('Plan de test'!$C$5:$C$152,"*"&amp;A31&amp;"*",'Plan de test'!$M$5:$M$152,"Réussi")</f>
        <v/>
      </c>
      <c r="H31" s="28">
        <f>COUNTIFS('Plan de test'!$C$5:$C$152,"*"&amp;A31&amp;"*",'Plan de test'!$M$5:$M$152,"Échec")+COUNTIFS('Plan de test'!$C$5:$C$152,"*"&amp;A31&amp;"*",'Plan de test'!$M$5:$M$152,"Bloqué")</f>
        <v/>
      </c>
      <c r="I31" s="28">
        <f>F31-G31-H31-COUNTIFS('Plan de test'!$C$5:$C$152,"*"&amp;A31&amp;"*",'Plan de test'!$M$5:$M$152,"Non livré")</f>
        <v/>
      </c>
      <c r="J31" s="28">
        <f>IF(F31=0,"Aucun cas",IF(H31&gt;0,"Échec",IF(G31=F31,"Validée",IF(G31+COUNTIFS('Plan de test'!$C$5:$C$152,"*"&amp;A31&amp;"*",'Plan de test'!$M$5:$M$152,"Non livré")=F31,"Non livrée","En cours"))))</f>
        <v/>
      </c>
      <c r="K31" s="27" t="inlineStr">
        <is>
          <t>Prévu avec les rapports</t>
        </is>
      </c>
    </row>
    <row r="32" ht="254.8" customHeight="1">
      <c r="A32" s="44" t="inlineStr">
        <is>
          <t>US-155</t>
        </is>
      </c>
      <c r="B32" s="28" t="inlineStr">
        <is>
          <t>EP-12</t>
        </is>
      </c>
      <c r="C32" s="27" t="inlineStr">
        <is>
          <t>Garantie qu'aucune opération sensible ne se supprime</t>
        </is>
      </c>
      <c r="D32" s="27" t="inlineStr">
        <is>
          <t>Aucun bouton Supprimer ; suppression par API refusée</t>
        </is>
      </c>
      <c r="E32" s="28" t="inlineStr">
        <is>
          <t>Livré</t>
        </is>
      </c>
      <c r="F32" s="28">
        <f>COUNTIF('Plan de test'!$C$5:$C$152,"*"&amp;A32&amp;"*")</f>
        <v/>
      </c>
      <c r="G32" s="28">
        <f>COUNTIFS('Plan de test'!$C$5:$C$152,"*"&amp;A32&amp;"*",'Plan de test'!$M$5:$M$152,"Réussi")</f>
        <v/>
      </c>
      <c r="H32" s="28">
        <f>COUNTIFS('Plan de test'!$C$5:$C$152,"*"&amp;A32&amp;"*",'Plan de test'!$M$5:$M$152,"Échec")+COUNTIFS('Plan de test'!$C$5:$C$152,"*"&amp;A32&amp;"*",'Plan de test'!$M$5:$M$152,"Bloqué")</f>
        <v/>
      </c>
      <c r="I32" s="28">
        <f>F32-G32-H32-COUNTIFS('Plan de test'!$C$5:$C$152,"*"&amp;A32&amp;"*",'Plan de test'!$M$5:$M$152,"Non livré")</f>
        <v/>
      </c>
      <c r="J32" s="28">
        <f>IF(F32=0,"Aucun cas",IF(H32&gt;0,"Échec",IF(G32=F32,"Validée",IF(G32+COUNTIFS('Plan de test'!$C$5:$C$152,"*"&amp;A32&amp;"*",'Plan de test'!$M$5:$M$152,"Non livré")=F32,"Non livrée","En cours"))))</f>
        <v/>
      </c>
      <c r="K32" s="27" t="inlineStr">
        <is>
          <t>Vérifié sur les opérations du lot 1</t>
        </is>
      </c>
    </row>
  </sheetData>
  <autoFilter ref="A4:K32"/>
  <conditionalFormatting sqref="E5:E32">
    <cfRule type="cellIs" priority="1" operator="equal" dxfId="7">
      <formula>"Livré"</formula>
    </cfRule>
    <cfRule type="cellIs" priority="2" operator="equal" dxfId="8">
      <formula>"Partiel"</formula>
    </cfRule>
    <cfRule type="cellIs" priority="3" operator="equal" dxfId="9">
      <formula>"À livrer"</formula>
    </cfRule>
  </conditionalFormatting>
  <conditionalFormatting sqref="J5:J32">
    <cfRule type="cellIs" priority="4" operator="equal" dxfId="0">
      <formula>"Validée"</formula>
    </cfRule>
    <cfRule type="cellIs" priority="5" operator="equal" dxfId="10">
      <formula>"Échec"</formula>
    </cfRule>
    <cfRule type="cellIs" priority="6" operator="equal" dxfId="11">
      <formula>"En cours"</formula>
    </cfRule>
    <cfRule type="cellIs" priority="7" operator="equal" dxfId="12">
      <formula>"Non livrée"</formula>
    </cfRule>
    <cfRule type="cellIs" priority="8" operator="equal" dxfId="1">
      <formula>"Aucun cas"</formula>
    </cfRule>
  </conditionalFormatting>
  <pageMargins left="0.75" right="0.75" top="1" bottom="1" header="0.5" footer="0.5"/>
</worksheet>
</file>

<file path=xl/worksheets/sheet7.xml><?xml version="1.0" encoding="utf-8"?>
<worksheet xmlns="http://schemas.openxmlformats.org/spreadsheetml/2006/main">
  <sheetPr>
    <tabColor rgb="008EA9DB"/>
    <outlinePr summaryBelow="1" summaryRight="1"/>
    <pageSetUpPr/>
  </sheetPr>
  <dimension ref="A1:E189"/>
  <sheetViews>
    <sheetView showGridLines="0" workbookViewId="0">
      <pane ySplit="4" topLeftCell="A5" activePane="bottomLeft" state="frozen"/>
      <selection pane="bottomLeft" activeCell="A1" sqref="A1"/>
    </sheetView>
  </sheetViews>
  <sheetFormatPr baseColWidth="8" defaultRowHeight="15"/>
  <cols>
    <col width="34" customWidth="1" min="1" max="1"/>
    <col width="10" customWidth="1" min="2" max="2"/>
    <col width="8" customWidth="1" min="3" max="3"/>
    <col width="40" customWidth="1" min="4" max="4"/>
    <col width="70" customWidth="1" min="5" max="5"/>
  </cols>
  <sheetData>
    <row r="1" ht="26" customHeight="1">
      <c r="A1" s="1" t="inlineStr">
        <is>
          <t>Tests automatiques de l'équipe (JUnit)</t>
        </is>
      </c>
    </row>
    <row r="2">
      <c r="A2" s="2" t="inlineStr">
        <is>
          <t>Ils s'exécutent sur une base PostgreSQL réelle (conteneur) à chaque livraison : mvn test. Ils couvrent règles de gestion, droits et périmètre par appel direct à l'API.</t>
        </is>
      </c>
    </row>
    <row r="4" ht="32" customHeight="1">
      <c r="A4" s="24" t="inlineStr">
        <is>
          <t>Classe de test</t>
        </is>
      </c>
      <c r="B4" s="24" t="inlineStr">
        <is>
          <t>Domaine</t>
        </is>
      </c>
      <c r="C4" s="24" t="inlineStr">
        <is>
          <t>Tests</t>
        </is>
      </c>
      <c r="D4" s="24" t="inlineStr">
        <is>
          <t>Cas du plan couverts</t>
        </is>
      </c>
      <c r="E4" s="24" t="inlineStr">
        <is>
          <t>Ce qu'elle vérifie</t>
        </is>
      </c>
    </row>
    <row r="5" ht="18" customHeight="1">
      <c r="A5" s="44" t="inlineStr">
        <is>
          <t>VitracosarlApiApplicationTests</t>
        </is>
      </c>
      <c r="B5" s="28" t="inlineStr">
        <is>
          <t>TRV</t>
        </is>
      </c>
      <c r="C5" s="28" t="n">
        <v>1</v>
      </c>
      <c r="D5" s="27" t="inlineStr">
        <is>
          <t>TC-TRV-008</t>
        </is>
      </c>
      <c r="E5" s="27" t="inlineStr">
        <is>
          <t>Context loads</t>
        </is>
      </c>
    </row>
    <row r="6" ht="43.59999999999999" customHeight="1">
      <c r="A6" s="44" t="inlineStr">
        <is>
          <t>ArrivagesTest</t>
        </is>
      </c>
      <c r="B6" s="28" t="inlineStr">
        <is>
          <t>APP</t>
        </is>
      </c>
      <c r="C6" s="28" t="n">
        <v>9</v>
      </c>
      <c r="D6" s="27" t="inlineStr">
        <is>
          <t>TC-APP-003, 005, 006, 007</t>
        </is>
      </c>
      <c r="E6" s="27" t="inlineStr">
        <is>
          <t>Un arrivage se cree apres la confirmation avec ses dates et son retard se mesure; Les arrivages commandent les etapes de la commande; Le dedouanement avance sans sauter et sans arrivee ni retrait de la date …</t>
        </is>
      </c>
    </row>
    <row r="7" ht="43.59999999999999" customHeight="1">
      <c r="A7" s="44" t="inlineStr">
        <is>
          <t>AuthEtUtilisateursTest</t>
        </is>
      </c>
      <c r="B7" s="28" t="inlineStr">
        <is>
          <t>ADM</t>
        </is>
      </c>
      <c r="C7" s="28" t="n">
        <v>15</v>
      </c>
      <c r="D7" s="27" t="inlineStr">
        <is>
          <t>TC-ADM-001, 003, 004, 006, 021</t>
        </is>
      </c>
      <c r="E7" s="27" t="inlineStr">
        <is>
          <t>L'administrateur amorce se connecte et recoit ses permissions; L'etat de connexion survit entre les requetes et prend fin ala deconnexion; Un mauvais mot de passe et un email inconnu donnent la meme reponse …</t>
        </is>
      </c>
    </row>
    <row r="8" ht="43.59999999999999" customHeight="1">
      <c r="A8" s="44" t="inlineStr">
        <is>
          <t>CatalogueTest</t>
        </is>
      </c>
      <c r="B8" s="28" t="inlineStr">
        <is>
          <t>CAT</t>
        </is>
      </c>
      <c r="C8" s="28" t="n">
        <v>9</v>
      </c>
      <c r="D8" s="27" t="inlineStr">
        <is>
          <t>TC-CAT-001, 002, 003, 005</t>
        </is>
      </c>
      <c r="E8" s="27" t="inlineStr">
        <is>
          <t>Un modele se cree avec ses prix initiaux et son code article est unique; Le catalogue se liste se filtre et se lit sans droit decriture; Le prix dachat nest jamais envoye sans la permission …</t>
        </is>
      </c>
    </row>
    <row r="9" ht="43.59999999999999" customHeight="1">
      <c r="A9" s="44" t="inlineStr">
        <is>
          <t>ChassisTest</t>
        </is>
      </c>
      <c r="B9" s="28" t="inlineStr">
        <is>
          <t>CAT</t>
        </is>
      </c>
      <c r="C9" s="28" t="n">
        <v>12</v>
      </c>
      <c r="D9" s="27" t="inlineStr">
        <is>
          <t>TC-CAT-005, 006, 007, 009, 010, TC-TRV-001, 002</t>
        </is>
      </c>
      <c r="E9" s="27" t="inlineStr">
        <is>
          <t>Un chassis se normalise se controle et se journalise; Un doublon est refuse avec lemplacement du chassis existant; Le format du modele les statuts initiaux et lemplacement sont controles …</t>
        </is>
      </c>
    </row>
    <row r="10" ht="43.59999999999999" customHeight="1">
      <c r="A10" s="44" t="inlineStr">
        <is>
          <t>CommandesFournisseurTest</t>
        </is>
      </c>
      <c r="B10" s="28" t="inlineStr">
        <is>
          <t>APP</t>
        </is>
      </c>
      <c r="C10" s="28" t="n">
        <v>10</v>
      </c>
      <c r="D10" s="27" t="inlineStr">
        <is>
          <t>TC-APP-001, 002, 003, 004, 008</t>
        </is>
      </c>
      <c r="E10" s="27" t="inlineStr">
        <is>
          <t>Une commande se cree numerotee avec ses totaux et ne touche pas au stock; Les prix sont masques au magasin qui voit seulement les quantites; Le fournisseur la devise le taux et les lignes sont controles …</t>
        </is>
      </c>
    </row>
    <row r="11" ht="43.59999999999999" customHeight="1">
      <c r="A11" s="44" t="inlineStr">
        <is>
          <t>DoubleAuthentificationTest</t>
        </is>
      </c>
      <c r="B11" s="28" t="inlineStr">
        <is>
          <t>ADM</t>
        </is>
      </c>
      <c r="C11" s="28" t="n">
        <v>11</v>
      </c>
      <c r="D11" s="27" t="inlineStr">
        <is>
          <t>TC-ADM-005</t>
        </is>
      </c>
      <c r="E11" s="27" t="inlineStr">
        <is>
          <t>Un role qui exige le second facteur le fait configurer ala premiere connexion; Ensuite la connexion exige un code valide et ne se rejoue pas; Un code de secours ouvre une session une seule fois …</t>
        </is>
      </c>
    </row>
    <row r="12" ht="43.59999999999999" customHeight="1">
      <c r="A12" s="44" t="inlineStr">
        <is>
          <t>EmplacementsTest</t>
        </is>
      </c>
      <c r="B12" s="28" t="inlineStr">
        <is>
          <t>ADM</t>
        </is>
      </c>
      <c r="C12" s="28" t="n">
        <v>12</v>
      </c>
      <c r="D12" s="27" t="inlineStr">
        <is>
          <t>TC-ADM-009, 010</t>
        </is>
      </c>
      <c r="E12" s="27" t="inlineStr">
        <is>
          <t>L'emplacement transit est cree par le systeme et intouchable; Un magasin et une boutique se creent et le code est unique; Le type depot et transit ne se cree pas ala main …</t>
        </is>
      </c>
    </row>
    <row r="13" ht="18" customHeight="1">
      <c r="A13" s="44" t="inlineStr">
        <is>
          <t>NotificationsParEmailTest</t>
        </is>
      </c>
      <c r="B13" s="28" t="inlineStr">
        <is>
          <t>ADM</t>
        </is>
      </c>
      <c r="C13" s="28" t="n">
        <v>1</v>
      </c>
      <c r="D13" s="27" t="inlineStr">
        <is>
          <t>TC-ADM-017</t>
        </is>
      </c>
      <c r="E13" s="27" t="inlineStr">
        <is>
          <t>La direction recoit par email le changement de droits avec le lien de lecran</t>
        </is>
      </c>
    </row>
    <row r="14" ht="43.59999999999999" customHeight="1">
      <c r="A14" s="44" t="inlineStr">
        <is>
          <t>NotificationsTest</t>
        </is>
      </c>
      <c r="B14" s="28" t="inlineStr">
        <is>
          <t>ADM</t>
        </is>
      </c>
      <c r="C14" s="28" t="n">
        <v>8</v>
      </c>
      <c r="D14" s="27" t="inlineStr">
        <is>
          <t>TC-ADM-015, 016</t>
        </is>
      </c>
      <c r="E14" s="27" t="inlineStr">
        <is>
          <t>Un changement de roles notifie la direction avec ancien nouveau et auteur; La creation dun compte notifie aussi la direction; Un changement de droits dun role donne les permissions ajoutees et retirees …</t>
        </is>
      </c>
    </row>
    <row r="15" ht="43.59999999999999" customHeight="1">
      <c r="A15" s="44" t="inlineStr">
        <is>
          <t>NumerotationServiceTest</t>
        </is>
      </c>
      <c r="B15" s="28" t="inlineStr">
        <is>
          <t>ADM</t>
        </is>
      </c>
      <c r="C15" s="28" t="n">
        <v>6</v>
      </c>
      <c r="D15" s="27" t="inlineStr">
        <is>
          <t>TC-ADM-014</t>
        </is>
      </c>
      <c r="E15" s="27" t="inlineStr">
        <is>
          <t>Le numero porte le prefixe lemplacement lannee et un compteur sur six chiffres; Un document sans emplacement ne contient pas de segment emplacement; Les compteurs sont independants par type et par emplacement …</t>
        </is>
      </c>
    </row>
    <row r="16" ht="56.8" customHeight="1">
      <c r="A16" s="44" t="inlineStr">
        <is>
          <t>ReceptionsTest</t>
        </is>
      </c>
      <c r="B16" s="28" t="inlineStr">
        <is>
          <t>REC</t>
        </is>
      </c>
      <c r="C16" s="28" t="n">
        <v>6</v>
      </c>
      <c r="D16" s="27" t="inlineStr">
        <is>
          <t>TC-REC-001 à 008, 011</t>
        </is>
      </c>
      <c r="E16" s="27" t="inlineStr">
        <is>
          <t>Une reception nouvre pas tant que larrivage nest pas dedouane ni hors du magasin ou du perimetre; Chaque scan est controle et le rapprochement se met ajour sans toucher au stock; La validation par un second utilisateur fait entrer les motos en stock et met la commande ajour …</t>
        </is>
      </c>
    </row>
    <row r="17" ht="43.59999999999999" customHeight="1">
      <c r="A17" s="44" t="inlineStr">
        <is>
          <t>ReferentielsEtParametresTest</t>
        </is>
      </c>
      <c r="B17" s="28" t="inlineStr">
        <is>
          <t>ADM</t>
        </is>
      </c>
      <c r="C17" s="28" t="n">
        <v>11</v>
      </c>
      <c r="D17" s="27" t="inlineStr">
        <is>
          <t>TC-ADM-011, 012, 013, 018</t>
        </is>
      </c>
      <c r="E17" s="27" t="inlineStr">
        <is>
          <t>Les modes de paiement et les categories du srs sont livres; Une banque se cree se renomme se desactive et ne se supprime pas; Les centres de cout et les categories suivent les memes regles …</t>
        </is>
      </c>
    </row>
    <row r="18" ht="43.59999999999999" customHeight="1">
      <c r="A18" s="44" t="inlineStr">
        <is>
          <t>RolesEtPermissionsTest</t>
        </is>
      </c>
      <c r="B18" s="28" t="inlineStr">
        <is>
          <t>ADM</t>
        </is>
      </c>
      <c r="C18" s="28" t="n">
        <v>5</v>
      </c>
      <c r="D18" s="27" t="inlineStr">
        <is>
          <t>TC-ADM-007, 008</t>
        </is>
      </c>
      <c r="E18" s="27" t="inlineStr">
        <is>
          <t>Les huit roles du srs sont livres avec la matrice par defaut; Le catalogue de permissions est expose au front; Un role personnalise se cree se modifie et se supprime sous conditions …</t>
        </is>
      </c>
    </row>
    <row r="19" ht="43.59999999999999" customHeight="1">
      <c r="A19" s="44" t="inlineStr">
        <is>
          <t>StockInitialTest</t>
        </is>
      </c>
      <c r="B19" s="28" t="inlineStr">
        <is>
          <t>REP</t>
        </is>
      </c>
      <c r="C19" s="28" t="n">
        <v>3</v>
      </c>
      <c r="D19" s="27" t="inlineStr">
        <is>
          <t>TC-REP-001 à 006</t>
        </is>
      </c>
      <c r="E19" s="27" t="inlineStr">
        <is>
          <t>Le stock initial simporte par chassis avec rapport lignes rejetees et sans doublon; Le modele excel se telecharge et se relit directement; Le pointage sur site compares stock attendu et stock reel et conserve le rapport</t>
        </is>
      </c>
    </row>
    <row r="20" ht="43.59999999999999" customHeight="1">
      <c r="A20" s="44" t="inlineStr">
        <is>
          <t>StockTest</t>
        </is>
      </c>
      <c r="B20" s="28" t="inlineStr">
        <is>
          <t>STK</t>
        </is>
      </c>
      <c r="C20" s="28" t="n">
        <v>6</v>
      </c>
      <c r="D20" s="27" t="inlineStr">
        <is>
          <t>TC-ADM-010, TC-STK-001 à 004, 006 à 008</t>
        </is>
      </c>
      <c r="E20" s="27" t="inlineStr">
        <is>
          <t>Le stock se calcule sur les chassis selon les definitions du srs; Chaque utilisateur ne voit que le stock de ses emplacements; Blocage et deblocage exigent un droit un motif et une piece et sont traces …</t>
        </is>
      </c>
    </row>
    <row r="21" ht="30.4" customHeight="1">
      <c r="A21" s="44" t="inlineStr">
        <is>
          <t>TableauDeBordMetierTest</t>
        </is>
      </c>
      <c r="B21" s="28" t="inlineStr">
        <is>
          <t>ADM</t>
        </is>
      </c>
      <c r="C21" s="28" t="n">
        <v>2</v>
      </c>
      <c r="D21" s="27" t="inlineStr">
        <is>
          <t>TC-ADM-018, TC-APP-007, TC-STK-011</t>
        </is>
      </c>
      <c r="E21" s="27" t="inlineStr">
        <is>
          <t>Le domaine commercial montre ce qui se vend dans le perimetre de la personne; Le domaine management consolide stock approvisionnements et controle</t>
        </is>
      </c>
    </row>
    <row r="22" ht="43.59999999999999" customHeight="1">
      <c r="A22" s="44" t="inlineStr">
        <is>
          <t>TransfertsTest</t>
        </is>
      </c>
      <c r="B22" s="28" t="inlineStr">
        <is>
          <t>TRF</t>
        </is>
      </c>
      <c r="C22" s="28" t="n">
        <v>6</v>
      </c>
      <c r="D22" s="27" t="inlineStr">
        <is>
          <t>TC-TRF-001 à 010</t>
        </is>
      </c>
      <c r="E22" s="27" t="inlineStr">
        <is>
          <t>La creation exige une liste de chassis disponibles ala source et ne bouge rien; Un transfert initie se modifie sannule et ne se corrige plus apres expedition; L'expedition fait sortir les chassis de la source et les met en transit …</t>
        </is>
      </c>
    </row>
    <row r="23" ht="43.59999999999999" customHeight="1">
      <c r="A23" s="44" t="inlineStr">
        <is>
          <t>EnvoiLienCompteMessagerieTest</t>
        </is>
      </c>
      <c r="B23" s="28" t="inlineStr">
        <is>
          <t>ADM</t>
        </is>
      </c>
      <c r="C23" s="28" t="n">
        <v>5</v>
      </c>
      <c r="D23" s="27" t="inlineStr">
        <is>
          <t>TC-ADM-017</t>
        </is>
      </c>
      <c r="E23" s="27" t="inlineStr">
        <is>
          <t>L'email dactivation arrive avec le lien la validite et lexpediteur configure; L'email de reinitialisation indique sa duree en minutes; Sans serveur smtp configure rien nest envoye et aucune erreur ne remonte …</t>
        </is>
      </c>
    </row>
    <row r="24" ht="30.4" customHeight="1">
      <c r="A24" s="44" t="inlineStr">
        <is>
          <t>TotpTest</t>
        </is>
      </c>
      <c r="B24" s="28" t="inlineStr">
        <is>
          <t>ADM</t>
        </is>
      </c>
      <c r="C24" s="28" t="n">
        <v>6</v>
      </c>
      <c r="D24" s="27" t="inlineStr">
        <is>
          <t>TC-ADM-005</t>
        </is>
      </c>
      <c r="E24" s="27" t="inlineStr">
        <is>
          <t>Les vecteurs de la rfc6238 sont reproduits; Le base32 saller retourne sans perte; Une derive dhorloge dun pas est toleree mais pas deux pas …</t>
        </is>
      </c>
    </row>
    <row r="25" ht="43.59999999999999" customHeight="1">
      <c r="A25" s="44" t="inlineStr">
        <is>
          <t>JournalAuditTest</t>
        </is>
      </c>
      <c r="B25" s="28" t="inlineStr">
        <is>
          <t>ADM</t>
        </is>
      </c>
      <c r="C25" s="28" t="n">
        <v>6</v>
      </c>
      <c r="D25" s="27" t="inlineStr">
        <is>
          <t>TC-ADM-020</t>
        </is>
      </c>
      <c r="E25" s="27" t="inlineStr">
        <is>
          <t>Une entree est enregistree avec ses valeurs avant et apres; L'enregistrement exige une transaction pour etre valide avec loperation; Les entrees sont chainees et la chaine est intacte …</t>
        </is>
      </c>
    </row>
    <row r="26" ht="30.4" customHeight="1">
      <c r="A26" s="44" t="inlineStr">
        <is>
          <t>GestionnaireErreursTest</t>
        </is>
      </c>
      <c r="B26" s="28" t="inlineStr">
        <is>
          <t>TRV</t>
        </is>
      </c>
      <c r="C26" s="28" t="n">
        <v>4</v>
      </c>
      <c r="D26" s="27" t="inlineStr">
        <is>
          <t>TC-TRV-004</t>
        </is>
      </c>
      <c r="E26" s="27" t="inlineStr">
        <is>
          <t>Une erreur metier renvoie son code stable et son message; L'etat http dune erreur metier peut etre choisi; Un champ invalide liste ses erreurs par champ …</t>
        </is>
      </c>
    </row>
    <row r="27" ht="30.4" customHeight="1">
      <c r="A27" s="44" t="inlineStr">
        <is>
          <t>SecuriteTest</t>
        </is>
      </c>
      <c r="B27" s="28" t="inlineStr">
        <is>
          <t>TRV</t>
        </is>
      </c>
      <c r="C27" s="28" t="n">
        <v>4</v>
      </c>
      <c r="D27" s="27" t="inlineStr">
        <is>
          <t>TC-ADM-021, TC-TRV-004</t>
        </is>
      </c>
      <c r="E27" s="27" t="inlineStr">
        <is>
          <t>L'etat de sante est public et verifie la base; Tout le reste exige une authentification; Une ecriture sans jeton csrf est refusee …</t>
        </is>
      </c>
    </row>
    <row r="28">
      <c r="A28" s="12" t="inlineStr">
        <is>
          <t>Total</t>
        </is>
      </c>
      <c r="B28" s="50" t="n"/>
      <c r="C28" s="12">
        <f>SUM(C5:C27)</f>
        <v/>
      </c>
      <c r="D28" s="50" t="n"/>
      <c r="E28" s="50" t="n"/>
    </row>
    <row r="30">
      <c r="A30" s="45" t="inlineStr">
        <is>
          <t>Détail : chaque test</t>
        </is>
      </c>
    </row>
    <row r="31" ht="32" customHeight="1">
      <c r="A31" s="24" t="inlineStr">
        <is>
          <t>Classe de test</t>
        </is>
      </c>
      <c r="B31" s="24" t="inlineStr">
        <is>
          <t>Domaine</t>
        </is>
      </c>
      <c r="C31" s="24" t="inlineStr">
        <is>
          <t>N°</t>
        </is>
      </c>
      <c r="D31" s="24" t="inlineStr">
        <is>
          <t>Test</t>
        </is>
      </c>
      <c r="E31" s="24" t="inlineStr">
        <is>
          <t>Énoncé</t>
        </is>
      </c>
    </row>
    <row r="32" ht="18" customHeight="1">
      <c r="A32" s="27" t="inlineStr">
        <is>
          <t>VitracosarlApiApplicationTests</t>
        </is>
      </c>
      <c r="B32" s="28" t="inlineStr">
        <is>
          <t>TRV</t>
        </is>
      </c>
      <c r="C32" s="28" t="n">
        <v>1</v>
      </c>
      <c r="D32" s="27" t="inlineStr">
        <is>
          <t>contextLoads</t>
        </is>
      </c>
      <c r="E32" s="27" t="inlineStr">
        <is>
          <t>Context loads</t>
        </is>
      </c>
    </row>
    <row r="33" ht="30.4" customHeight="1">
      <c r="A33" s="27" t="inlineStr">
        <is>
          <t>ArrivagesTest</t>
        </is>
      </c>
      <c r="B33" s="28" t="inlineStr">
        <is>
          <t>APP</t>
        </is>
      </c>
      <c r="C33" s="28" t="n">
        <v>1</v>
      </c>
      <c r="D33" s="27" t="inlineStr">
        <is>
          <t>unArrivageSeCreeApresLaConfirmationAvecSesDatesEtSonRetardSeMesure</t>
        </is>
      </c>
      <c r="E33" s="27" t="inlineStr">
        <is>
          <t>Un arrivage se cree apres la confirmation avec ses dates et son retard se mesure</t>
        </is>
      </c>
    </row>
    <row r="34" ht="18" customHeight="1">
      <c r="A34" s="27" t="inlineStr">
        <is>
          <t>ArrivagesTest</t>
        </is>
      </c>
      <c r="B34" s="28" t="inlineStr">
        <is>
          <t>APP</t>
        </is>
      </c>
      <c r="C34" s="28" t="n">
        <v>2</v>
      </c>
      <c r="D34" s="27" t="inlineStr">
        <is>
          <t>lesArrivagesCommandentLesEtapesDeLaCommande</t>
        </is>
      </c>
      <c r="E34" s="27" t="inlineStr">
        <is>
          <t>Les arrivages commandent les etapes de la commande</t>
        </is>
      </c>
    </row>
    <row r="35" ht="30.4" customHeight="1">
      <c r="A35" s="27" t="inlineStr">
        <is>
          <t>ArrivagesTest</t>
        </is>
      </c>
      <c r="B35" s="28" t="inlineStr">
        <is>
          <t>APP</t>
        </is>
      </c>
      <c r="C35" s="28" t="n">
        <v>3</v>
      </c>
      <c r="D35" s="27" t="inlineStr">
        <is>
          <t>leDedouanementAvanceSansSauterEtSansArriveeNiRetraitDeLaDate</t>
        </is>
      </c>
      <c r="E35" s="27" t="inlineStr">
        <is>
          <t>Le dedouanement avance sans sauter et sans arrivee ni retrait de la date</t>
        </is>
      </c>
    </row>
    <row r="36" ht="30.4" customHeight="1">
      <c r="A36" s="27" t="inlineStr">
        <is>
          <t>ArrivagesTest</t>
        </is>
      </c>
      <c r="B36" s="28" t="inlineStr">
        <is>
          <t>APP</t>
        </is>
      </c>
      <c r="C36" s="28" t="n">
        <v>4</v>
      </c>
      <c r="D36" s="27" t="inlineStr">
        <is>
          <t>lesFraisPortentDeviseTauxEtPieceEtAlimententLeCoutDeRevientProvisoire</t>
        </is>
      </c>
      <c r="E36" s="27" t="inlineStr">
        <is>
          <t>Les frais portent devise taux et piece et alimentent le cout de revient provisoire</t>
        </is>
      </c>
    </row>
    <row r="37" ht="30.4" customHeight="1">
      <c r="A37" s="27" t="inlineStr">
        <is>
          <t>ArrivagesTest</t>
        </is>
      </c>
      <c r="B37" s="28" t="inlineStr">
        <is>
          <t>APP</t>
        </is>
      </c>
      <c r="C37" s="28" t="n">
        <v>5</v>
      </c>
      <c r="D37" s="27" t="inlineStr">
        <is>
          <t>lesFraisSontDesElementsDuCoutDeRevientDoncMasquesAuMagasin</t>
        </is>
      </c>
      <c r="E37" s="27" t="inlineStr">
        <is>
          <t>Les frais sont des elements du cout de revient donc masques au magasin</t>
        </is>
      </c>
    </row>
    <row r="38" ht="30.4" customHeight="1">
      <c r="A38" s="27" t="inlineStr">
        <is>
          <t>ArrivagesTest</t>
        </is>
      </c>
      <c r="B38" s="28" t="inlineStr">
        <is>
          <t>APP</t>
        </is>
      </c>
      <c r="C38" s="28" t="n">
        <v>6</v>
      </c>
      <c r="D38" s="27" t="inlineStr">
        <is>
          <t>leColisageCsvCreeLesChassisAnnoncesEtRejetteLesLignesFautivesAvecLeurMotif</t>
        </is>
      </c>
      <c r="E38" s="27" t="inlineStr">
        <is>
          <t>Le colisage csv cree les chassis annonces et rejette les lignes fautives avec leur motif</t>
        </is>
      </c>
    </row>
    <row r="39" ht="30.4" customHeight="1">
      <c r="A39" s="27" t="inlineStr">
        <is>
          <t>ArrivagesTest</t>
        </is>
      </c>
      <c r="B39" s="28" t="inlineStr">
        <is>
          <t>APP</t>
        </is>
      </c>
      <c r="C39" s="28" t="n">
        <v>7</v>
      </c>
      <c r="D39" s="27" t="inlineStr">
        <is>
          <t>leColisageAccepteLesExportsExcelFrancaisCommeLesFichiersXlsxEtRefuseLeReste</t>
        </is>
      </c>
      <c r="E39" s="27" t="inlineStr">
        <is>
          <t>Le colisage accepte les exports excel francais comme les fichiers xlsx et refuse le reste</t>
        </is>
      </c>
    </row>
    <row r="40" ht="30.4" customHeight="1">
      <c r="A40" s="27" t="inlineStr">
        <is>
          <t>ArrivagesTest</t>
        </is>
      </c>
      <c r="B40" s="28" t="inlineStr">
        <is>
          <t>APP</t>
        </is>
      </c>
      <c r="C40" s="28" t="n">
        <v>8</v>
      </c>
      <c r="D40" s="27" t="inlineStr">
        <is>
          <t>leDedouanementTermineFaitPasserLesChassisAReceptionnerEtPrevientLeMagasin</t>
        </is>
      </c>
      <c r="E40" s="27" t="inlineStr">
        <is>
          <t>Le dedouanement termine fait passer les chassis areceptionner et previent le magasin</t>
        </is>
      </c>
    </row>
    <row r="41" ht="30.4" customHeight="1">
      <c r="A41" s="27" t="inlineStr">
        <is>
          <t>ArrivagesTest</t>
        </is>
      </c>
      <c r="B41" s="28" t="inlineStr">
        <is>
          <t>APP</t>
        </is>
      </c>
      <c r="C41" s="28" t="n">
        <v>9</v>
      </c>
      <c r="D41" s="27" t="inlineStr">
        <is>
          <t>laQuantiteCommandeeSeCumuleSurLesArrivagesDUneMemeCommande</t>
        </is>
      </c>
      <c r="E41" s="27" t="inlineStr">
        <is>
          <t>La quantite commandee se cumule sur les arrivages dune meme commande</t>
        </is>
      </c>
    </row>
    <row r="42" ht="30.4" customHeight="1">
      <c r="A42" s="27" t="inlineStr">
        <is>
          <t>AuthEtUtilisateursTest</t>
        </is>
      </c>
      <c r="B42" s="28" t="inlineStr">
        <is>
          <t>ADM</t>
        </is>
      </c>
      <c r="C42" s="28" t="n">
        <v>1</v>
      </c>
      <c r="D42" s="27" t="inlineStr">
        <is>
          <t>lAdministrateurAmorceSeConnecteEtRecoitSesPermissions</t>
        </is>
      </c>
      <c r="E42" s="27" t="inlineStr">
        <is>
          <t>L'administrateur amorce se connecte et recoit ses permissions</t>
        </is>
      </c>
    </row>
    <row r="43" ht="30.4" customHeight="1">
      <c r="A43" s="27" t="inlineStr">
        <is>
          <t>AuthEtUtilisateursTest</t>
        </is>
      </c>
      <c r="B43" s="28" t="inlineStr">
        <is>
          <t>ADM</t>
        </is>
      </c>
      <c r="C43" s="28" t="n">
        <v>2</v>
      </c>
      <c r="D43" s="27" t="inlineStr">
        <is>
          <t>lEtatDeConnexionSurvitEntreLesRequetesEtPrendFinALaDeconnexion</t>
        </is>
      </c>
      <c r="E43" s="27" t="inlineStr">
        <is>
          <t>L'etat de connexion survit entre les requetes et prend fin ala deconnexion</t>
        </is>
      </c>
    </row>
    <row r="44" ht="30.4" customHeight="1">
      <c r="A44" s="27" t="inlineStr">
        <is>
          <t>AuthEtUtilisateursTest</t>
        </is>
      </c>
      <c r="B44" s="28" t="inlineStr">
        <is>
          <t>ADM</t>
        </is>
      </c>
      <c r="C44" s="28" t="n">
        <v>3</v>
      </c>
      <c r="D44" s="27" t="inlineStr">
        <is>
          <t>unMauvaisMotDePasseEtUnEmailInconnuDonnentLaMemeReponse</t>
        </is>
      </c>
      <c r="E44" s="27" t="inlineStr">
        <is>
          <t>Un mauvais mot de passe et un email inconnu donnent la meme reponse</t>
        </is>
      </c>
    </row>
    <row r="45" ht="18" customHeight="1">
      <c r="A45" s="27" t="inlineStr">
        <is>
          <t>AuthEtUtilisateursTest</t>
        </is>
      </c>
      <c r="B45" s="28" t="inlineStr">
        <is>
          <t>ADM</t>
        </is>
      </c>
      <c r="C45" s="28" t="n">
        <v>4</v>
      </c>
      <c r="D45" s="27" t="inlineStr">
        <is>
          <t>uneEcritureSansJetonCsrfEstRefusee</t>
        </is>
      </c>
      <c r="E45" s="27" t="inlineStr">
        <is>
          <t>Une ecriture sans jeton csrf est refusee</t>
        </is>
      </c>
    </row>
    <row r="46" ht="30.4" customHeight="1">
      <c r="A46" s="27" t="inlineStr">
        <is>
          <t>AuthEtUtilisateursTest</t>
        </is>
      </c>
      <c r="B46" s="28" t="inlineStr">
        <is>
          <t>ADM</t>
        </is>
      </c>
      <c r="C46" s="28" t="n">
        <v>5</v>
      </c>
      <c r="D46" s="27" t="inlineStr">
        <is>
          <t>cinqEchecsVerrouillentLeCompteMemeAvecLeBonMotDePasseEtLAdministrateurLeDeverrouille</t>
        </is>
      </c>
      <c r="E46" s="27" t="inlineStr">
        <is>
          <t>Cinq echecs verrouillent le compte meme avec le bon mot de passe et ladministrateur le deverrouille</t>
        </is>
      </c>
    </row>
    <row r="47" ht="30.4" customHeight="1">
      <c r="A47" s="27" t="inlineStr">
        <is>
          <t>AuthEtUtilisateursTest</t>
        </is>
      </c>
      <c r="B47" s="28" t="inlineStr">
        <is>
          <t>ADM</t>
        </is>
      </c>
      <c r="C47" s="28" t="n">
        <v>6</v>
      </c>
      <c r="D47" s="27" t="inlineStr">
        <is>
          <t>unCompteSeCreeSansMotDePassePuisSActiveParLienEnRespectantLaPolitique</t>
        </is>
      </c>
      <c r="E47" s="27" t="inlineStr">
        <is>
          <t>Un compte se cree sans mot de passe puis sactive par lien en respectant la politique</t>
        </is>
      </c>
    </row>
    <row r="48" ht="18" customHeight="1">
      <c r="A48" s="27" t="inlineStr">
        <is>
          <t>AuthEtUtilisateursTest</t>
        </is>
      </c>
      <c r="B48" s="28" t="inlineStr">
        <is>
          <t>ADM</t>
        </is>
      </c>
      <c r="C48" s="28" t="n">
        <v>7</v>
      </c>
      <c r="D48" s="27" t="inlineStr">
        <is>
          <t>unUtilisateurSansLeDroitEstRefuseCoteServeur</t>
        </is>
      </c>
      <c r="E48" s="27" t="inlineStr">
        <is>
          <t>Un utilisateur sans le droit est refuse cote serveur</t>
        </is>
      </c>
    </row>
    <row r="49" ht="30.4" customHeight="1">
      <c r="A49" s="27" t="inlineStr">
        <is>
          <t>AuthEtUtilisateursTest</t>
        </is>
      </c>
      <c r="B49" s="28" t="inlineStr">
        <is>
          <t>ADM</t>
        </is>
      </c>
      <c r="C49" s="28" t="n">
        <v>8</v>
      </c>
      <c r="D49" s="27" t="inlineStr">
        <is>
          <t>uneAdresseDejaUtiliseeOuUnRoleInconnuSontRefuses</t>
        </is>
      </c>
      <c r="E49" s="27" t="inlineStr">
        <is>
          <t>Une adresse deja utilisee ou un role inconnu sont refuses</t>
        </is>
      </c>
    </row>
    <row r="50" ht="18" customHeight="1">
      <c r="A50" s="27" t="inlineStr">
        <is>
          <t>AuthEtUtilisateursTest</t>
        </is>
      </c>
      <c r="B50" s="28" t="inlineStr">
        <is>
          <t>ADM</t>
        </is>
      </c>
      <c r="C50" s="28" t="n">
        <v>9</v>
      </c>
      <c r="D50" s="27" t="inlineStr">
        <is>
          <t>suspendreUnCompteFermeSaSessionImmediatement</t>
        </is>
      </c>
      <c r="E50" s="27" t="inlineStr">
        <is>
          <t>Suspendre un compte ferme sa session immediatement</t>
        </is>
      </c>
    </row>
    <row r="51" ht="30.4" customHeight="1">
      <c r="A51" s="27" t="inlineStr">
        <is>
          <t>AuthEtUtilisateursTest</t>
        </is>
      </c>
      <c r="B51" s="28" t="inlineStr">
        <is>
          <t>ADM</t>
        </is>
      </c>
      <c r="C51" s="28" t="n">
        <v>10</v>
      </c>
      <c r="D51" s="27" t="inlineStr">
        <is>
          <t>unAdministrateurNePeutPasSuspendreSonPropreCompte</t>
        </is>
      </c>
      <c r="E51" s="27" t="inlineStr">
        <is>
          <t>Un administrateur ne peut pas suspendre son propre compte</t>
        </is>
      </c>
    </row>
    <row r="52" ht="30.4" customHeight="1">
      <c r="A52" s="27" t="inlineStr">
        <is>
          <t>AuthEtUtilisateursTest</t>
        </is>
      </c>
      <c r="B52" s="28" t="inlineStr">
        <is>
          <t>ADM</t>
        </is>
      </c>
      <c r="C52" s="28" t="n">
        <v>11</v>
      </c>
      <c r="D52" s="27" t="inlineStr">
        <is>
          <t>changerLesRolesFermeLaSessionPourQueLesDroitsSAppliquent</t>
        </is>
      </c>
      <c r="E52" s="27" t="inlineStr">
        <is>
          <t>Changer les roles ferme la session pour que les droits sappliquent</t>
        </is>
      </c>
    </row>
    <row r="53" ht="30.4" customHeight="1">
      <c r="A53" s="27" t="inlineStr">
        <is>
          <t>AuthEtUtilisateursTest</t>
        </is>
      </c>
      <c r="B53" s="28" t="inlineStr">
        <is>
          <t>ADM</t>
        </is>
      </c>
      <c r="C53" s="28" t="n">
        <v>12</v>
      </c>
      <c r="D53" s="27" t="inlineStr">
        <is>
          <t>lesActionsSensiblesSontAuJournalAvecLeursValeursEtLAuteur</t>
        </is>
      </c>
      <c r="E53" s="27" t="inlineStr">
        <is>
          <t>Les actions sensibles sont au journal avec leurs valeurs et lauteur</t>
        </is>
      </c>
    </row>
    <row r="54" ht="30.4" customHeight="1">
      <c r="A54" s="27" t="inlineStr">
        <is>
          <t>AuthEtUtilisateursTest</t>
        </is>
      </c>
      <c r="B54" s="28" t="inlineStr">
        <is>
          <t>ADM</t>
        </is>
      </c>
      <c r="C54" s="28" t="n">
        <v>13</v>
      </c>
      <c r="D54" s="27" t="inlineStr">
        <is>
          <t>laReinitialisationDuMotDePasseParLienFonctionneEtFermeLesSessions</t>
        </is>
      </c>
      <c r="E54" s="27" t="inlineStr">
        <is>
          <t>La reinitialisation du mot de passe par lien fonctionne et ferme les sessions</t>
        </is>
      </c>
    </row>
    <row r="55" ht="30.4" customHeight="1">
      <c r="A55" s="27" t="inlineStr">
        <is>
          <t>AuthEtUtilisateursTest</t>
        </is>
      </c>
      <c r="B55" s="28" t="inlineStr">
        <is>
          <t>ADM</t>
        </is>
      </c>
      <c r="C55" s="28" t="n">
        <v>14</v>
      </c>
      <c r="D55" s="27" t="inlineStr">
        <is>
          <t>laListeSeFiltreEtSePagineAvecLEnveloppeDuFront</t>
        </is>
      </c>
      <c r="E55" s="27" t="inlineStr">
        <is>
          <t>La liste se filtre et se pagine avec lenveloppe du front</t>
        </is>
      </c>
    </row>
    <row r="56" ht="30.4" customHeight="1">
      <c r="A56" s="27" t="inlineStr">
        <is>
          <t>AuthEtUtilisateursTest</t>
        </is>
      </c>
      <c r="B56" s="28" t="inlineStr">
        <is>
          <t>ADM</t>
        </is>
      </c>
      <c r="C56" s="28" t="n">
        <v>15</v>
      </c>
      <c r="D56" s="27" t="inlineStr">
        <is>
          <t>uneConnexionReussieEstJournaliseeAuNomDeLaPersonneConnectee</t>
        </is>
      </c>
      <c r="E56" s="27" t="inlineStr">
        <is>
          <t>Une connexion reussie est journalisee au nom de la personne connectee</t>
        </is>
      </c>
    </row>
    <row r="57" ht="30.4" customHeight="1">
      <c r="A57" s="27" t="inlineStr">
        <is>
          <t>CatalogueTest</t>
        </is>
      </c>
      <c r="B57" s="28" t="inlineStr">
        <is>
          <t>CAT</t>
        </is>
      </c>
      <c r="C57" s="28" t="n">
        <v>1</v>
      </c>
      <c r="D57" s="27" t="inlineStr">
        <is>
          <t>unModeleSeCreeAvecSesPrixInitiauxEtSonCodeArticleEstUnique</t>
        </is>
      </c>
      <c r="E57" s="27" t="inlineStr">
        <is>
          <t>Un modele se cree avec ses prix initiaux et son code article est unique</t>
        </is>
      </c>
    </row>
    <row r="58" ht="30.4" customHeight="1">
      <c r="A58" s="27" t="inlineStr">
        <is>
          <t>CatalogueTest</t>
        </is>
      </c>
      <c r="B58" s="28" t="inlineStr">
        <is>
          <t>CAT</t>
        </is>
      </c>
      <c r="C58" s="28" t="n">
        <v>2</v>
      </c>
      <c r="D58" s="27" t="inlineStr">
        <is>
          <t>leCatalogueSeListeSeFiltreEtSeLitSansDroitDEcriture</t>
        </is>
      </c>
      <c r="E58" s="27" t="inlineStr">
        <is>
          <t>Le catalogue se liste se filtre et se lit sans droit decriture</t>
        </is>
      </c>
    </row>
    <row r="59" ht="18" customHeight="1">
      <c r="A59" s="27" t="inlineStr">
        <is>
          <t>CatalogueTest</t>
        </is>
      </c>
      <c r="B59" s="28" t="inlineStr">
        <is>
          <t>CAT</t>
        </is>
      </c>
      <c r="C59" s="28" t="n">
        <v>3</v>
      </c>
      <c r="D59" s="27" t="inlineStr">
        <is>
          <t>lePrixDAchatNEstJamaisEnvoyeSansLaPermission</t>
        </is>
      </c>
      <c r="E59" s="27" t="inlineStr">
        <is>
          <t>Le prix dachat nest jamais envoye sans la permission</t>
        </is>
      </c>
    </row>
    <row r="60" ht="30.4" customHeight="1">
      <c r="A60" s="27" t="inlineStr">
        <is>
          <t>CatalogueTest</t>
        </is>
      </c>
      <c r="B60" s="28" t="inlineStr">
        <is>
          <t>CAT</t>
        </is>
      </c>
      <c r="C60" s="28" t="n">
        <v>4</v>
      </c>
      <c r="D60" s="27" t="inlineStr">
        <is>
          <t>unChangementDePrixAvecDateDEffetNeTouchePasLePrixEnVigueurEtGardeSonHistorique</t>
        </is>
      </c>
      <c r="E60" s="27" t="inlineStr">
        <is>
          <t>Un changement de prix avec date deffet ne touche pas le prix en vigueur et garde son historique</t>
        </is>
      </c>
    </row>
    <row r="61" ht="18" customHeight="1">
      <c r="A61" s="27" t="inlineStr">
        <is>
          <t>CatalogueTest</t>
        </is>
      </c>
      <c r="B61" s="28" t="inlineStr">
        <is>
          <t>CAT</t>
        </is>
      </c>
      <c r="C61" s="28" t="n">
        <v>5</v>
      </c>
      <c r="D61" s="27" t="inlineStr">
        <is>
          <t>lesChangementsInvalidesSontRefuses</t>
        </is>
      </c>
      <c r="E61" s="27" t="inlineStr">
        <is>
          <t>Les changements invalides sont refuses</t>
        </is>
      </c>
    </row>
    <row r="62" ht="30.4" customHeight="1">
      <c r="A62" s="27" t="inlineStr">
        <is>
          <t>CatalogueTest</t>
        </is>
      </c>
      <c r="B62" s="28" t="inlineStr">
        <is>
          <t>CAT</t>
        </is>
      </c>
      <c r="C62" s="28" t="n">
        <v>6</v>
      </c>
      <c r="D62" s="27" t="inlineStr">
        <is>
          <t>unPrixProgrammeNeDoitJamaisRendreLeMinimumSuperieurAuPrixDeVente</t>
        </is>
      </c>
      <c r="E62" s="27" t="inlineStr">
        <is>
          <t>Un prix programme ne doit jamais rendre le minimum superieur au prix de vente</t>
        </is>
      </c>
    </row>
    <row r="63" ht="30.4" customHeight="1">
      <c r="A63" s="27" t="inlineStr">
        <is>
          <t>CatalogueTest</t>
        </is>
      </c>
      <c r="B63" s="28" t="inlineStr">
        <is>
          <t>CAT</t>
        </is>
      </c>
      <c r="C63" s="28" t="n">
        <v>7</v>
      </c>
      <c r="D63" s="27" t="inlineStr">
        <is>
          <t>baisserLePrixMinimumExigeLaValidationDeLaDirection</t>
        </is>
      </c>
      <c r="E63" s="27" t="inlineStr">
        <is>
          <t>Baisser le prix minimum exige la validation de la direction</t>
        </is>
      </c>
    </row>
    <row r="64" ht="30.4" customHeight="1">
      <c r="A64" s="27" t="inlineStr">
        <is>
          <t>CatalogueTest</t>
        </is>
      </c>
      <c r="B64" s="28" t="inlineStr">
        <is>
          <t>CAT</t>
        </is>
      </c>
      <c r="C64" s="28" t="n">
        <v>8</v>
      </c>
      <c r="D64" s="27" t="inlineStr">
        <is>
          <t>lHistoriqueDesPrixEstEnAjoutSeulMemeSansPasserParLApi</t>
        </is>
      </c>
      <c r="E64" s="27" t="inlineStr">
        <is>
          <t>L'historique des prix est en ajout seul meme sans passer par lapi</t>
        </is>
      </c>
    </row>
    <row r="65" ht="30.4" customHeight="1">
      <c r="A65" s="27" t="inlineStr">
        <is>
          <t>CatalogueTest</t>
        </is>
      </c>
      <c r="B65" s="28" t="inlineStr">
        <is>
          <t>CAT</t>
        </is>
      </c>
      <c r="C65" s="28" t="n">
        <v>9</v>
      </c>
      <c r="D65" s="27" t="inlineStr">
        <is>
          <t>uneFicheSeModifieSansToucherAuCodeNiAuxPrixEtUnModeleSeDesactive</t>
        </is>
      </c>
      <c r="E65" s="27" t="inlineStr">
        <is>
          <t>Une fiche se modifie sans toucher au code ni aux prix et un modele se desactive</t>
        </is>
      </c>
    </row>
    <row r="66" ht="18" customHeight="1">
      <c r="A66" s="27" t="inlineStr">
        <is>
          <t>ChassisTest</t>
        </is>
      </c>
      <c r="B66" s="28" t="inlineStr">
        <is>
          <t>CAT</t>
        </is>
      </c>
      <c r="C66" s="28" t="n">
        <v>1</v>
      </c>
      <c r="D66" s="27" t="inlineStr">
        <is>
          <t>unChassisSeNormaliseSeControleEtSeJournalise</t>
        </is>
      </c>
      <c r="E66" s="27" t="inlineStr">
        <is>
          <t>Un chassis se normalise se controle et se journalise</t>
        </is>
      </c>
    </row>
    <row r="67" ht="30.4" customHeight="1">
      <c r="A67" s="27" t="inlineStr">
        <is>
          <t>ChassisTest</t>
        </is>
      </c>
      <c r="B67" s="28" t="inlineStr">
        <is>
          <t>CAT</t>
        </is>
      </c>
      <c r="C67" s="28" t="n">
        <v>2</v>
      </c>
      <c r="D67" s="27" t="inlineStr">
        <is>
          <t>unDoublonEstRefuseAvecLEmplacementDuChassisExistant</t>
        </is>
      </c>
      <c r="E67" s="27" t="inlineStr">
        <is>
          <t>Un doublon est refuse avec lemplacement du chassis existant</t>
        </is>
      </c>
    </row>
    <row r="68" ht="30.4" customHeight="1">
      <c r="A68" s="27" t="inlineStr">
        <is>
          <t>ChassisTest</t>
        </is>
      </c>
      <c r="B68" s="28" t="inlineStr">
        <is>
          <t>CAT</t>
        </is>
      </c>
      <c r="C68" s="28" t="n">
        <v>3</v>
      </c>
      <c r="D68" s="27" t="inlineStr">
        <is>
          <t>leFormatDuModeleLesStatutsInitiauxEtLEmplacementSontControles</t>
        </is>
      </c>
      <c r="E68" s="27" t="inlineStr">
        <is>
          <t>Le format du modele les statuts initiaux et lemplacement sont controles</t>
        </is>
      </c>
    </row>
    <row r="69" ht="30.4" customHeight="1">
      <c r="A69" s="27" t="inlineStr">
        <is>
          <t>ChassisTest</t>
        </is>
      </c>
      <c r="B69" s="28" t="inlineStr">
        <is>
          <t>CAT</t>
        </is>
      </c>
      <c r="C69" s="28" t="n">
        <v>4</v>
      </c>
      <c r="D69" s="27" t="inlineStr">
        <is>
          <t>labaseRefuseLesEtatsIncoherentsEtLesMouvementsSontEnAjoutSeul</t>
        </is>
      </c>
      <c r="E69" s="27" t="inlineStr">
        <is>
          <t>Labase refuse les etats incoherents et les mouvements sont en ajout seul</t>
        </is>
      </c>
    </row>
    <row r="70" ht="30.4" customHeight="1">
      <c r="A70" s="27" t="inlineStr">
        <is>
          <t>ChassisTest</t>
        </is>
      </c>
      <c r="B70" s="28" t="inlineStr">
        <is>
          <t>CAT</t>
        </is>
      </c>
      <c r="C70" s="28" t="n">
        <v>5</v>
      </c>
      <c r="D70" s="27" t="inlineStr">
        <is>
          <t>laListeSeFiltreSeCherchePartielEtLesAnciennetesSeCalculent</t>
        </is>
      </c>
      <c r="E70" s="27" t="inlineStr">
        <is>
          <t>La liste se filtre se cherche partiel et les anciennetes se calculent</t>
        </is>
      </c>
    </row>
    <row r="71" ht="18" customHeight="1">
      <c r="A71" s="27" t="inlineStr">
        <is>
          <t>ChassisTest</t>
        </is>
      </c>
      <c r="B71" s="28" t="inlineStr">
        <is>
          <t>CAT</t>
        </is>
      </c>
      <c r="C71" s="28" t="n">
        <v>6</v>
      </c>
      <c r="D71" s="27" t="inlineStr">
        <is>
          <t>chacunNeVoitQueLesChassisDeSesEmplacements</t>
        </is>
      </c>
      <c r="E71" s="27" t="inlineStr">
        <is>
          <t>Chacun ne voit que les chassis de ses emplacements</t>
        </is>
      </c>
    </row>
    <row r="72" ht="30.4" customHeight="1">
      <c r="A72" s="27" t="inlineStr">
        <is>
          <t>ChassisTest</t>
        </is>
      </c>
      <c r="B72" s="28" t="inlineStr">
        <is>
          <t>CAT</t>
        </is>
      </c>
      <c r="C72" s="28" t="n">
        <v>7</v>
      </c>
      <c r="D72" s="27" t="inlineStr">
        <is>
          <t>leCoutDeRevientEstMasqueSansLaPermissionEtLaFicheRaconteLHistoire</t>
        </is>
      </c>
      <c r="E72" s="27" t="inlineStr">
        <is>
          <t>Le cout de revient est masque sans la permission et la fiche raconte lhistoire</t>
        </is>
      </c>
    </row>
    <row r="73" ht="30.4" customHeight="1">
      <c r="A73" s="27" t="inlineStr">
        <is>
          <t>ChassisTest</t>
        </is>
      </c>
      <c r="B73" s="28" t="inlineStr">
        <is>
          <t>CAT</t>
        </is>
      </c>
      <c r="C73" s="28" t="n">
        <v>8</v>
      </c>
      <c r="D73" s="27" t="inlineStr">
        <is>
          <t>lExportCsvDemandeSonDroitSeCommeSansFormulesEtEstJournalise</t>
        </is>
      </c>
      <c r="E73" s="27" t="inlineStr">
        <is>
          <t>L'export csv demande son droit se comme sans formules et est journalise</t>
        </is>
      </c>
    </row>
    <row r="74" ht="30.4" customHeight="1">
      <c r="A74" s="27" t="inlineStr">
        <is>
          <t>ChassisTest</t>
        </is>
      </c>
      <c r="B74" s="28" t="inlineStr">
        <is>
          <t>CAT</t>
        </is>
      </c>
      <c r="C74" s="28" t="n">
        <v>9</v>
      </c>
      <c r="D74" s="27" t="inlineStr">
        <is>
          <t>uneCorrectionDeNumeroExigeUnMotifEtLaValidationDUnSecondUtilisateur</t>
        </is>
      </c>
      <c r="E74" s="27" t="inlineStr">
        <is>
          <t>Une correction de numero exige un motif et la validation dun second utilisateur</t>
        </is>
      </c>
    </row>
    <row r="75" ht="30.4" customHeight="1">
      <c r="A75" s="27" t="inlineStr">
        <is>
          <t>ChassisTest</t>
        </is>
      </c>
      <c r="B75" s="28" t="inlineStr">
        <is>
          <t>CAT</t>
        </is>
      </c>
      <c r="C75" s="28" t="n">
        <v>10</v>
      </c>
      <c r="D75" s="27" t="inlineStr">
        <is>
          <t>uneCorrectionRefuseeLaisseLeNumeroEtLesNumerosInvalidesSontRefuses</t>
        </is>
      </c>
      <c r="E75" s="27" t="inlineStr">
        <is>
          <t>Une correction refusee laisse le numero et les numeros invalides sont refuses</t>
        </is>
      </c>
    </row>
    <row r="76" ht="30.4" customHeight="1">
      <c r="A76" s="27" t="inlineStr">
        <is>
          <t>ChassisTest</t>
        </is>
      </c>
      <c r="B76" s="28" t="inlineStr">
        <is>
          <t>CAT</t>
        </is>
      </c>
      <c r="C76" s="28" t="n">
        <v>11</v>
      </c>
      <c r="D76" s="27" t="inlineStr">
        <is>
          <t>unChassisFactureNePeutPlusEtreCorrigeMemeSiLaDemandeEtaitAnterieure</t>
        </is>
      </c>
      <c r="E76" s="27" t="inlineStr">
        <is>
          <t>Un chassis facture ne peut plus etre corrige meme si la demande etait anterieure</t>
        </is>
      </c>
    </row>
    <row r="77" ht="30.4" customHeight="1">
      <c r="A77" s="27" t="inlineStr">
        <is>
          <t>ChassisTest</t>
        </is>
      </c>
      <c r="B77" s="28" t="inlineStr">
        <is>
          <t>CAT</t>
        </is>
      </c>
      <c r="C77" s="28" t="n">
        <v>12</v>
      </c>
      <c r="D77" s="27" t="inlineStr">
        <is>
          <t>seulsLesProfilsAutorisesDemandentUneCorrection</t>
        </is>
      </c>
      <c r="E77" s="27" t="inlineStr">
        <is>
          <t>Seuls les profils autorises demandent une correction</t>
        </is>
      </c>
    </row>
    <row r="78" ht="30.4" customHeight="1">
      <c r="A78" s="27" t="inlineStr">
        <is>
          <t>CommandesFournisseurTest</t>
        </is>
      </c>
      <c r="B78" s="28" t="inlineStr">
        <is>
          <t>APP</t>
        </is>
      </c>
      <c r="C78" s="28" t="n">
        <v>1</v>
      </c>
      <c r="D78" s="27" t="inlineStr">
        <is>
          <t>uneCommandeSeCreeNumeroteeAvecSesTotauxEtNeTouchePasAuStock</t>
        </is>
      </c>
      <c r="E78" s="27" t="inlineStr">
        <is>
          <t>Une commande se cree numerotee avec ses totaux et ne touche pas au stock</t>
        </is>
      </c>
    </row>
    <row r="79" ht="30.4" customHeight="1">
      <c r="A79" s="27" t="inlineStr">
        <is>
          <t>CommandesFournisseurTest</t>
        </is>
      </c>
      <c r="B79" s="28" t="inlineStr">
        <is>
          <t>APP</t>
        </is>
      </c>
      <c r="C79" s="28" t="n">
        <v>2</v>
      </c>
      <c r="D79" s="27" t="inlineStr">
        <is>
          <t>lesPrixSontMasquesAuMagasinQuiVoitSeulementLesQuantites</t>
        </is>
      </c>
      <c r="E79" s="27" t="inlineStr">
        <is>
          <t>Les prix sont masques au magasin qui voit seulement les quantites</t>
        </is>
      </c>
    </row>
    <row r="80" ht="30.4" customHeight="1">
      <c r="A80" s="27" t="inlineStr">
        <is>
          <t>CommandesFournisseurTest</t>
        </is>
      </c>
      <c r="B80" s="28" t="inlineStr">
        <is>
          <t>APP</t>
        </is>
      </c>
      <c r="C80" s="28" t="n">
        <v>3</v>
      </c>
      <c r="D80" s="27" t="inlineStr">
        <is>
          <t>leFournisseurLaDeviseLeTauxEtLesLignesSontControles</t>
        </is>
      </c>
      <c r="E80" s="27" t="inlineStr">
        <is>
          <t>Le fournisseur la devise le taux et les lignes sont controles</t>
        </is>
      </c>
    </row>
    <row r="81" ht="30.4" customHeight="1">
      <c r="A81" s="27" t="inlineStr">
        <is>
          <t>CommandesFournisseurTest</t>
        </is>
      </c>
      <c r="B81" s="28" t="inlineStr">
        <is>
          <t>APP</t>
        </is>
      </c>
      <c r="C81" s="28" t="n">
        <v>4</v>
      </c>
      <c r="D81" s="27" t="inlineStr">
        <is>
          <t>uneCommandeSeModifieTantQueLeFournisseurNAPasConfirme</t>
        </is>
      </c>
      <c r="E81" s="27" t="inlineStr">
        <is>
          <t>Une commande se modifie tant que le fournisseur napas confirme</t>
        </is>
      </c>
    </row>
    <row r="82" ht="30.4" customHeight="1">
      <c r="A82" s="27" t="inlineStr">
        <is>
          <t>CommandesFournisseurTest</t>
        </is>
      </c>
      <c r="B82" s="28" t="inlineStr">
        <is>
          <t>APP</t>
        </is>
      </c>
      <c r="C82" s="28" t="n">
        <v>5</v>
      </c>
      <c r="D82" s="27" t="inlineStr">
        <is>
          <t>leWorkflowAvanceEtapeParEtapeAvecDateEtAuteurEtNeSautePasDEtape</t>
        </is>
      </c>
      <c r="E82" s="27" t="inlineStr">
        <is>
          <t>Le workflow avance etape par etape avec date et auteur et ne saute pas detape</t>
        </is>
      </c>
    </row>
    <row r="83" ht="30.4" customHeight="1">
      <c r="A83" s="27" t="inlineStr">
        <is>
          <t>CommandesFournisseurTest</t>
        </is>
      </c>
      <c r="B83" s="28" t="inlineStr">
        <is>
          <t>APP</t>
        </is>
      </c>
      <c r="C83" s="28" t="n">
        <v>6</v>
      </c>
      <c r="D83" s="27" t="inlineStr">
        <is>
          <t>uneConditionDUnAutreModuleBloqueLePassageDEtape</t>
        </is>
      </c>
      <c r="E83" s="27" t="inlineStr">
        <is>
          <t>Une condition dun autre module bloque le passage detape</t>
        </is>
      </c>
    </row>
    <row r="84" ht="30.4" customHeight="1">
      <c r="A84" s="27" t="inlineStr">
        <is>
          <t>CommandesFournisseurTest</t>
        </is>
      </c>
      <c r="B84" s="28" t="inlineStr">
        <is>
          <t>APP</t>
        </is>
      </c>
      <c r="C84" s="28" t="n">
        <v>7</v>
      </c>
      <c r="D84" s="27" t="inlineStr">
        <is>
          <t>unRetourArriereExigeUnDroitSpecifiqueEtUnMotif</t>
        </is>
      </c>
      <c r="E84" s="27" t="inlineStr">
        <is>
          <t>Un retour arriere exige un droit specifique et un motif</t>
        </is>
      </c>
    </row>
    <row r="85" ht="30.4" customHeight="1">
      <c r="A85" s="27" t="inlineStr">
        <is>
          <t>CommandesFournisseurTest</t>
        </is>
      </c>
      <c r="B85" s="28" t="inlineStr">
        <is>
          <t>APP</t>
        </is>
      </c>
      <c r="C85" s="28" t="n">
        <v>8</v>
      </c>
      <c r="D85" s="27" t="inlineStr">
        <is>
          <t>uneCommandeSAnnuleAvantLeDepartAvecUnMotifEtSeFigeEnsuite</t>
        </is>
      </c>
      <c r="E85" s="27" t="inlineStr">
        <is>
          <t>Une commande sannule avant le depart avec un motif et se fige ensuite</t>
        </is>
      </c>
    </row>
    <row r="86" ht="30.4" customHeight="1">
      <c r="A86" s="27" t="inlineStr">
        <is>
          <t>CommandesFournisseurTest</t>
        </is>
      </c>
      <c r="B86" s="28" t="inlineStr">
        <is>
          <t>APP</t>
        </is>
      </c>
      <c r="C86" s="28" t="n">
        <v>9</v>
      </c>
      <c r="D86" s="27" t="inlineStr">
        <is>
          <t>lesReceptionsFontPasserLaCommandeEnReceptionPartielleOuReceptionneeSansToucherAuStock</t>
        </is>
      </c>
      <c r="E86" s="27" t="inlineStr">
        <is>
          <t>Les receptions font passer la commande en reception partielle ou receptionnee sans toucher au stock</t>
        </is>
      </c>
    </row>
    <row r="87" ht="30.4" customHeight="1">
      <c r="A87" s="27" t="inlineStr">
        <is>
          <t>CommandesFournisseurTest</t>
        </is>
      </c>
      <c r="B87" s="28" t="inlineStr">
        <is>
          <t>APP</t>
        </is>
      </c>
      <c r="C87" s="28" t="n">
        <v>10</v>
      </c>
      <c r="D87" s="27" t="inlineStr">
        <is>
          <t>laListeSeFiltreParStatutFournisseurRechercheEtDates</t>
        </is>
      </c>
      <c r="E87" s="27" t="inlineStr">
        <is>
          <t>La liste se filtre par statut fournisseur recherche et dates</t>
        </is>
      </c>
    </row>
    <row r="88" ht="30.4" customHeight="1">
      <c r="A88" s="27" t="inlineStr">
        <is>
          <t>DoubleAuthentificationTest</t>
        </is>
      </c>
      <c r="B88" s="28" t="inlineStr">
        <is>
          <t>ADM</t>
        </is>
      </c>
      <c r="C88" s="28" t="n">
        <v>1</v>
      </c>
      <c r="D88" s="27" t="inlineStr">
        <is>
          <t>unRoleQuiExigeLeSecondFacteurLeFaitConfigurerALaPremiereConnexion</t>
        </is>
      </c>
      <c r="E88" s="27" t="inlineStr">
        <is>
          <t>Un role qui exige le second facteur le fait configurer ala premiere connexion</t>
        </is>
      </c>
    </row>
    <row r="89" ht="30.4" customHeight="1">
      <c r="A89" s="27" t="inlineStr">
        <is>
          <t>DoubleAuthentificationTest</t>
        </is>
      </c>
      <c r="B89" s="28" t="inlineStr">
        <is>
          <t>ADM</t>
        </is>
      </c>
      <c r="C89" s="28" t="n">
        <v>2</v>
      </c>
      <c r="D89" s="27" t="inlineStr">
        <is>
          <t>ensuiteLaConnexionExigeUnCodeValideEtNeSeRejouePas</t>
        </is>
      </c>
      <c r="E89" s="27" t="inlineStr">
        <is>
          <t>Ensuite la connexion exige un code valide et ne se rejoue pas</t>
        </is>
      </c>
    </row>
    <row r="90" ht="18" customHeight="1">
      <c r="A90" s="27" t="inlineStr">
        <is>
          <t>DoubleAuthentificationTest</t>
        </is>
      </c>
      <c r="B90" s="28" t="inlineStr">
        <is>
          <t>ADM</t>
        </is>
      </c>
      <c r="C90" s="28" t="n">
        <v>3</v>
      </c>
      <c r="D90" s="27" t="inlineStr">
        <is>
          <t>unCodeDeSecoursOuvreUneSessionUneSeuleFois</t>
        </is>
      </c>
      <c r="E90" s="27" t="inlineStr">
        <is>
          <t>Un code de secours ouvre une session une seule fois</t>
        </is>
      </c>
    </row>
    <row r="91" ht="30.4" customHeight="1">
      <c r="A91" s="27" t="inlineStr">
        <is>
          <t>DoubleAuthentificationTest</t>
        </is>
      </c>
      <c r="B91" s="28" t="inlineStr">
        <is>
          <t>ADM</t>
        </is>
      </c>
      <c r="C91" s="28" t="n">
        <v>4</v>
      </c>
      <c r="D91" s="27" t="inlineStr">
        <is>
          <t>cinqCodesFauxVerrouillentLeCompteMemeEnSeReconnectant</t>
        </is>
      </c>
      <c r="E91" s="27" t="inlineStr">
        <is>
          <t>Cinq codes faux verrouillent le compte meme en se reconnectant</t>
        </is>
      </c>
    </row>
    <row r="92" ht="30.4" customHeight="1">
      <c r="A92" s="27" t="inlineStr">
        <is>
          <t>DoubleAuthentificationTest</t>
        </is>
      </c>
      <c r="B92" s="28" t="inlineStr">
        <is>
          <t>ADM</t>
        </is>
      </c>
      <c r="C92" s="28" t="n">
        <v>5</v>
      </c>
      <c r="D92" s="27" t="inlineStr">
        <is>
          <t>sansConnexionPreparatoireLesRoutesDuSecondFacteurSontFermees</t>
        </is>
      </c>
      <c r="E92" s="27" t="inlineStr">
        <is>
          <t>Sans connexion preparatoire les routes du second facteur sont fermees</t>
        </is>
      </c>
    </row>
    <row r="93" ht="30.4" customHeight="1">
      <c r="A93" s="27" t="inlineStr">
        <is>
          <t>DoubleAuthentificationTest</t>
        </is>
      </c>
      <c r="B93" s="28" t="inlineStr">
        <is>
          <t>ADM</t>
        </is>
      </c>
      <c r="C93" s="28" t="n">
        <v>6</v>
      </c>
      <c r="D93" s="27" t="inlineStr">
        <is>
          <t>unRoleSansExigenceLaisseLeChoixEtPermetDeRetirerLeSecondFacteur</t>
        </is>
      </c>
      <c r="E93" s="27" t="inlineStr">
        <is>
          <t>Un role sans exigence laisse le choix et permet de retirer le second facteur</t>
        </is>
      </c>
    </row>
    <row r="94" ht="30.4" customHeight="1">
      <c r="A94" s="27" t="inlineStr">
        <is>
          <t>DoubleAuthentificationTest</t>
        </is>
      </c>
      <c r="B94" s="28" t="inlineStr">
        <is>
          <t>ADM</t>
        </is>
      </c>
      <c r="C94" s="28" t="n">
        <v>7</v>
      </c>
      <c r="D94" s="27" t="inlineStr">
        <is>
          <t>unRoleQuiExigeLeSecondFacteurNePermetPasDeLeRetirer</t>
        </is>
      </c>
      <c r="E94" s="27" t="inlineStr">
        <is>
          <t>Un role qui exige le second facteur ne permet pas de le retirer</t>
        </is>
      </c>
    </row>
    <row r="95" ht="30.4" customHeight="1">
      <c r="A95" s="27" t="inlineStr">
        <is>
          <t>DoubleAuthentificationTest</t>
        </is>
      </c>
      <c r="B95" s="28" t="inlineStr">
        <is>
          <t>ADM</t>
        </is>
      </c>
      <c r="C95" s="28" t="n">
        <v>8</v>
      </c>
      <c r="D95" s="27" t="inlineStr">
        <is>
          <t>lesCodesDeSecoursSeRegenerentSurPresentationDUnCodeValide</t>
        </is>
      </c>
      <c r="E95" s="27" t="inlineStr">
        <is>
          <t>Les codes de secours se regenerent sur presentation dun code valide</t>
        </is>
      </c>
    </row>
    <row r="96" ht="30.4" customHeight="1">
      <c r="A96" s="27" t="inlineStr">
        <is>
          <t>DoubleAuthentificationTest</t>
        </is>
      </c>
      <c r="B96" s="28" t="inlineStr">
        <is>
          <t>ADM</t>
        </is>
      </c>
      <c r="C96" s="28" t="n">
        <v>9</v>
      </c>
      <c r="D96" s="27" t="inlineStr">
        <is>
          <t>lAdministrateurReinitialiseLeSecondFacteurDUnAutreUtilisateur</t>
        </is>
      </c>
      <c r="E96" s="27" t="inlineStr">
        <is>
          <t>L'administrateur reinitialise le second facteur dun autre utilisateur</t>
        </is>
      </c>
    </row>
    <row r="97" ht="30.4" customHeight="1">
      <c r="A97" s="27" t="inlineStr">
        <is>
          <t>DoubleAuthentificationTest</t>
        </is>
      </c>
      <c r="B97" s="28" t="inlineStr">
        <is>
          <t>ADM</t>
        </is>
      </c>
      <c r="C97" s="28" t="n">
        <v>10</v>
      </c>
      <c r="D97" s="27" t="inlineStr">
        <is>
          <t>personneNePeutReinitialiserSonPropreSecondFacteur</t>
        </is>
      </c>
      <c r="E97" s="27" t="inlineStr">
        <is>
          <t>Personne ne peut reinitialiser son propre second facteur</t>
        </is>
      </c>
    </row>
    <row r="98" ht="30.4" customHeight="1">
      <c r="A98" s="27" t="inlineStr">
        <is>
          <t>DoubleAuthentificationTest</t>
        </is>
      </c>
      <c r="B98" s="28" t="inlineStr">
        <is>
          <t>ADM</t>
        </is>
      </c>
      <c r="C98" s="28" t="n">
        <v>11</v>
      </c>
      <c r="D98" s="27" t="inlineStr">
        <is>
          <t>lesRolesLivresExigentLeSecondFacteurDansLaMigrationEtLeCatalogue</t>
        </is>
      </c>
      <c r="E98" s="27" t="inlineStr">
        <is>
          <t>Les roles livres exigent le second facteur dans la migration et le catalogue</t>
        </is>
      </c>
    </row>
    <row r="99" ht="30.4" customHeight="1">
      <c r="A99" s="27" t="inlineStr">
        <is>
          <t>EmplacementsTest</t>
        </is>
      </c>
      <c r="B99" s="28" t="inlineStr">
        <is>
          <t>ADM</t>
        </is>
      </c>
      <c r="C99" s="28" t="n">
        <v>1</v>
      </c>
      <c r="D99" s="27" t="inlineStr">
        <is>
          <t>lEmplacementTransitEstCreeParLeSystemeEtIntouchable</t>
        </is>
      </c>
      <c r="E99" s="27" t="inlineStr">
        <is>
          <t>L'emplacement transit est cree par le systeme et intouchable</t>
        </is>
      </c>
    </row>
    <row r="100" ht="30.4" customHeight="1">
      <c r="A100" s="27" t="inlineStr">
        <is>
          <t>EmplacementsTest</t>
        </is>
      </c>
      <c r="B100" s="28" t="inlineStr">
        <is>
          <t>ADM</t>
        </is>
      </c>
      <c r="C100" s="28" t="n">
        <v>2</v>
      </c>
      <c r="D100" s="27" t="inlineStr">
        <is>
          <t>unMagasinEtUneBoutiqueSeCreentEtLeCodeEstUnique</t>
        </is>
      </c>
      <c r="E100" s="27" t="inlineStr">
        <is>
          <t>Un magasin et une boutique se creent et le code est unique</t>
        </is>
      </c>
    </row>
    <row r="101" ht="18" customHeight="1">
      <c r="A101" s="27" t="inlineStr">
        <is>
          <t>EmplacementsTest</t>
        </is>
      </c>
      <c r="B101" s="28" t="inlineStr">
        <is>
          <t>ADM</t>
        </is>
      </c>
      <c r="C101" s="28" t="n">
        <v>3</v>
      </c>
      <c r="D101" s="27" t="inlineStr">
        <is>
          <t>leTypeDepotEtTransitNeSeCreePasALaMain</t>
        </is>
      </c>
      <c r="E101" s="27" t="inlineStr">
        <is>
          <t>Le type depot et transit ne se cree pas ala main</t>
        </is>
      </c>
    </row>
    <row r="102" ht="30.4" customHeight="1">
      <c r="A102" s="27" t="inlineStr">
        <is>
          <t>EmplacementsTest</t>
        </is>
      </c>
      <c r="B102" s="28" t="inlineStr">
        <is>
          <t>ADM</t>
        </is>
      </c>
      <c r="C102" s="28" t="n">
        <v>4</v>
      </c>
      <c r="D102" s="27" t="inlineStr">
        <is>
          <t>leModeDeLaBoutiqueCommandeSonRattachementAuMagasin</t>
        </is>
      </c>
      <c r="E102" s="27" t="inlineStr">
        <is>
          <t>Le mode de la boutique commande son rattachement au magasin</t>
        </is>
      </c>
    </row>
    <row r="103" ht="30.4" customHeight="1">
      <c r="A103" s="27" t="inlineStr">
        <is>
          <t>EmplacementsTest</t>
        </is>
      </c>
      <c r="B103" s="28" t="inlineStr">
        <is>
          <t>ADM</t>
        </is>
      </c>
      <c r="C103" s="28" t="n">
        <v>5</v>
      </c>
      <c r="D103" s="27" t="inlineStr">
        <is>
          <t>leModeNeChangePasTantQueLaBoutiqueEstUtilisee</t>
        </is>
      </c>
      <c r="E103" s="27" t="inlineStr">
        <is>
          <t>Le mode ne change pas tant que la boutique est utilisee</t>
        </is>
      </c>
    </row>
    <row r="104" ht="18" customHeight="1">
      <c r="A104" s="27" t="inlineStr">
        <is>
          <t>EmplacementsTest</t>
        </is>
      </c>
      <c r="B104" s="28" t="inlineStr">
        <is>
          <t>ADM</t>
        </is>
      </c>
      <c r="C104" s="28" t="n">
        <v>6</v>
      </c>
      <c r="D104" s="27" t="inlineStr">
        <is>
          <t>leCodeEtLeTypeSontFigesApresCreation</t>
        </is>
      </c>
      <c r="E104" s="27" t="inlineStr">
        <is>
          <t>Le code et le type sont figes apres creation</t>
        </is>
      </c>
    </row>
    <row r="105" ht="30.4" customHeight="1">
      <c r="A105" s="27" t="inlineStr">
        <is>
          <t>EmplacementsTest</t>
        </is>
      </c>
      <c r="B105" s="28" t="inlineStr">
        <is>
          <t>ADM</t>
        </is>
      </c>
      <c r="C105" s="28" t="n">
        <v>7</v>
      </c>
      <c r="D105" s="27" t="inlineStr">
        <is>
          <t>desactiverRefuseSiLEmplacementServEncoreOuSiDesBoutiquesLUtilisent</t>
        </is>
      </c>
      <c r="E105" s="27" t="inlineStr">
        <is>
          <t>Desactiver refuse si lemplacement serv encore ou si des boutiques lutilisent</t>
        </is>
      </c>
    </row>
    <row r="106" ht="30.4" customHeight="1">
      <c r="A106" s="27" t="inlineStr">
        <is>
          <t>EmplacementsTest</t>
        </is>
      </c>
      <c r="B106" s="28" t="inlineStr">
        <is>
          <t>ADM</t>
        </is>
      </c>
      <c r="C106" s="28" t="n">
        <v>8</v>
      </c>
      <c r="D106" s="27" t="inlineStr">
        <is>
          <t>laBaseRefuseLesCombinaisonsIncoherentesMemeSansPasserParLApi</t>
        </is>
      </c>
      <c r="E106" s="27" t="inlineStr">
        <is>
          <t>La base refuse les combinaisons incoherentes meme sans passer par lapi</t>
        </is>
      </c>
    </row>
    <row r="107" ht="30.4" customHeight="1">
      <c r="A107" s="27" t="inlineStr">
        <is>
          <t>EmplacementsTest</t>
        </is>
      </c>
      <c r="B107" s="28" t="inlineStr">
        <is>
          <t>ADM</t>
        </is>
      </c>
      <c r="C107" s="28" t="n">
        <v>9</v>
      </c>
      <c r="D107" s="27" t="inlineStr">
        <is>
          <t>lesEcrituresDemandentLesDroitsDAdministration</t>
        </is>
      </c>
      <c r="E107" s="27" t="inlineStr">
        <is>
          <t>Les ecritures demandent les droits dadministration</t>
        </is>
      </c>
    </row>
    <row r="108" ht="30.4" customHeight="1">
      <c r="A108" s="27" t="inlineStr">
        <is>
          <t>EmplacementsTest</t>
        </is>
      </c>
      <c r="B108" s="28" t="inlineStr">
        <is>
          <t>ADM</t>
        </is>
      </c>
      <c r="C108" s="28" t="n">
        <v>10</v>
      </c>
      <c r="D108" s="27" t="inlineStr">
        <is>
          <t>lePerimetreDUnUtilisateurVientDeSesEmplacementsOuDeSonRoleConsolide</t>
        </is>
      </c>
      <c r="E108" s="27" t="inlineStr">
        <is>
          <t>Le perimetre dun utilisateur vient de ses emplacements ou de son role consolide</t>
        </is>
      </c>
    </row>
    <row r="109" ht="30.4" customHeight="1">
      <c r="A109" s="27" t="inlineStr">
        <is>
          <t>EmplacementsTest</t>
        </is>
      </c>
      <c r="B109" s="28" t="inlineStr">
        <is>
          <t>ADM</t>
        </is>
      </c>
      <c r="C109" s="28" t="n">
        <v>11</v>
      </c>
      <c r="D109" s="27" t="inlineStr">
        <is>
          <t>seulsUnMagasinOuUneBoutiqueActifsSAttribuentAUnUtilisateur</t>
        </is>
      </c>
      <c r="E109" s="27" t="inlineStr">
        <is>
          <t>Seuls un magasin ou une boutique actifs sattribuent aun utilisateur</t>
        </is>
      </c>
    </row>
    <row r="110" ht="30.4" customHeight="1">
      <c r="A110" s="27" t="inlineStr">
        <is>
          <t>EmplacementsTest</t>
        </is>
      </c>
      <c r="B110" s="28" t="inlineStr">
        <is>
          <t>ADM</t>
        </is>
      </c>
      <c r="C110" s="28" t="n">
        <v>12</v>
      </c>
      <c r="D110" s="27" t="inlineStr">
        <is>
          <t>leRoleDirectionEtAdminSontConsolidesEtLeFlagSeLitEtSEcritSurLesRoles</t>
        </is>
      </c>
      <c r="E110" s="27" t="inlineStr">
        <is>
          <t>Le role direction et admin sont consolides et le flag se lit et secrit sur les roles</t>
        </is>
      </c>
    </row>
    <row r="111" ht="30.4" customHeight="1">
      <c r="A111" s="27" t="inlineStr">
        <is>
          <t>NotificationsParEmailTest</t>
        </is>
      </c>
      <c r="B111" s="28" t="inlineStr">
        <is>
          <t>ADM</t>
        </is>
      </c>
      <c r="C111" s="28" t="n">
        <v>1</v>
      </c>
      <c r="D111" s="27" t="inlineStr">
        <is>
          <t>laDirectionRecoitParEmailLeChangementDeDroitsAvecLeLienDeLEcran</t>
        </is>
      </c>
      <c r="E111" s="27" t="inlineStr">
        <is>
          <t>La direction recoit par email le changement de droits avec le lien de lecran</t>
        </is>
      </c>
    </row>
    <row r="112" ht="30.4" customHeight="1">
      <c r="A112" s="27" t="inlineStr">
        <is>
          <t>NotificationsTest</t>
        </is>
      </c>
      <c r="B112" s="28" t="inlineStr">
        <is>
          <t>ADM</t>
        </is>
      </c>
      <c r="C112" s="28" t="n">
        <v>1</v>
      </c>
      <c r="D112" s="27" t="inlineStr">
        <is>
          <t>unChangementDeRolesNotifieLaDirectionAvecAncienNouveauEtAuteur</t>
        </is>
      </c>
      <c r="E112" s="27" t="inlineStr">
        <is>
          <t>Un changement de roles notifie la direction avec ancien nouveau et auteur</t>
        </is>
      </c>
    </row>
    <row r="113" ht="18" customHeight="1">
      <c r="A113" s="27" t="inlineStr">
        <is>
          <t>NotificationsTest</t>
        </is>
      </c>
      <c r="B113" s="28" t="inlineStr">
        <is>
          <t>ADM</t>
        </is>
      </c>
      <c r="C113" s="28" t="n">
        <v>2</v>
      </c>
      <c r="D113" s="27" t="inlineStr">
        <is>
          <t>laCreationDUnCompteNotifieAussiLaDirection</t>
        </is>
      </c>
      <c r="E113" s="27" t="inlineStr">
        <is>
          <t>La creation dun compte notifie aussi la direction</t>
        </is>
      </c>
    </row>
    <row r="114" ht="30.4" customHeight="1">
      <c r="A114" s="27" t="inlineStr">
        <is>
          <t>NotificationsTest</t>
        </is>
      </c>
      <c r="B114" s="28" t="inlineStr">
        <is>
          <t>ADM</t>
        </is>
      </c>
      <c r="C114" s="28" t="n">
        <v>3</v>
      </c>
      <c r="D114" s="27" t="inlineStr">
        <is>
          <t>unChangementDeDroitsDUnRoleDonneLesPermissionsAjouteesEtRetirees</t>
        </is>
      </c>
      <c r="E114" s="27" t="inlineStr">
        <is>
          <t>Un changement de droits dun role donne les permissions ajoutees et retirees</t>
        </is>
      </c>
    </row>
    <row r="115" ht="18" customHeight="1">
      <c r="A115" s="27" t="inlineStr">
        <is>
          <t>NotificationsTest</t>
        </is>
      </c>
      <c r="B115" s="28" t="inlineStr">
        <is>
          <t>ADM</t>
        </is>
      </c>
      <c r="C115" s="28" t="n">
        <v>4</v>
      </c>
      <c r="D115" s="27" t="inlineStr">
        <is>
          <t>unSimpleRenommageDeRoleNeNotifiePersonne</t>
        </is>
      </c>
      <c r="E115" s="27" t="inlineStr">
        <is>
          <t>Un simple renommage de role ne notifie personne</t>
        </is>
      </c>
    </row>
    <row r="116" ht="30.4" customHeight="1">
      <c r="A116" s="27" t="inlineStr">
        <is>
          <t>NotificationsTest</t>
        </is>
      </c>
      <c r="B116" s="28" t="inlineStr">
        <is>
          <t>ADM</t>
        </is>
      </c>
      <c r="C116" s="28" t="n">
        <v>5</v>
      </c>
      <c r="D116" s="27" t="inlineStr">
        <is>
          <t>chacunNeVoitEtNeMarqueQueSesPropresNotifications</t>
        </is>
      </c>
      <c r="E116" s="27" t="inlineStr">
        <is>
          <t>Chacun ne voit et ne marque que ses propres notifications</t>
        </is>
      </c>
    </row>
    <row r="117" ht="18" customHeight="1">
      <c r="A117" s="27" t="inlineStr">
        <is>
          <t>NotificationsTest</t>
        </is>
      </c>
      <c r="B117" s="28" t="inlineStr">
        <is>
          <t>ADM</t>
        </is>
      </c>
      <c r="C117" s="28" t="n">
        <v>6</v>
      </c>
      <c r="D117" s="27" t="inlineStr">
        <is>
          <t>lesNotificationsDemandentUneConnexion</t>
        </is>
      </c>
      <c r="E117" s="27" t="inlineStr">
        <is>
          <t>Les notifications demandent une connexion</t>
        </is>
      </c>
    </row>
    <row r="118" ht="30.4" customHeight="1">
      <c r="A118" s="27" t="inlineStr">
        <is>
          <t>NotificationsTest</t>
        </is>
      </c>
      <c r="B118" s="28" t="inlineStr">
        <is>
          <t>ADM</t>
        </is>
      </c>
      <c r="C118" s="28" t="n">
        <v>7</v>
      </c>
      <c r="D118" s="27" t="inlineStr">
        <is>
          <t>unCompteVerrouilleEstSignaleAuxAdministrateurs</t>
        </is>
      </c>
      <c r="E118" s="27" t="inlineStr">
        <is>
          <t>Un compte verrouille est signale aux administrateurs</t>
        </is>
      </c>
    </row>
    <row r="119" ht="30.4" customHeight="1">
      <c r="A119" s="27" t="inlineStr">
        <is>
          <t>NotificationsTest</t>
        </is>
      </c>
      <c r="B119" s="28" t="inlineStr">
        <is>
          <t>ADM</t>
        </is>
      </c>
      <c r="C119" s="28" t="n">
        <v>8</v>
      </c>
      <c r="D119" s="27" t="inlineStr">
        <is>
          <t>lesComptesSuspendusNeRecoiventPasDeNotification</t>
        </is>
      </c>
      <c r="E119" s="27" t="inlineStr">
        <is>
          <t>Les comptes suspendus ne recoivent pas de notification</t>
        </is>
      </c>
    </row>
    <row r="120" ht="30.4" customHeight="1">
      <c r="A120" s="27" t="inlineStr">
        <is>
          <t>NumerotationServiceTest</t>
        </is>
      </c>
      <c r="B120" s="28" t="inlineStr">
        <is>
          <t>ADM</t>
        </is>
      </c>
      <c r="C120" s="28" t="n">
        <v>1</v>
      </c>
      <c r="D120" s="27" t="inlineStr">
        <is>
          <t>leNumeroPorteLePrefixeLEmplacementLAnneeEtUnCompteurSurSixChiffres</t>
        </is>
      </c>
      <c r="E120" s="27" t="inlineStr">
        <is>
          <t>Le numero porte le prefixe lemplacement lannee et un compteur sur six chiffres</t>
        </is>
      </c>
    </row>
    <row r="121" ht="30.4" customHeight="1">
      <c r="A121" s="27" t="inlineStr">
        <is>
          <t>NumerotationServiceTest</t>
        </is>
      </c>
      <c r="B121" s="28" t="inlineStr">
        <is>
          <t>ADM</t>
        </is>
      </c>
      <c r="C121" s="28" t="n">
        <v>2</v>
      </c>
      <c r="D121" s="27" t="inlineStr">
        <is>
          <t>unDocumentSansEmplacementNeContientPasDeSegmentEmplacement</t>
        </is>
      </c>
      <c r="E121" s="27" t="inlineStr">
        <is>
          <t>Un document sans emplacement ne contient pas de segment emplacement</t>
        </is>
      </c>
    </row>
    <row r="122" ht="30.4" customHeight="1">
      <c r="A122" s="27" t="inlineStr">
        <is>
          <t>NumerotationServiceTest</t>
        </is>
      </c>
      <c r="B122" s="28" t="inlineStr">
        <is>
          <t>ADM</t>
        </is>
      </c>
      <c r="C122" s="28" t="n">
        <v>3</v>
      </c>
      <c r="D122" s="27" t="inlineStr">
        <is>
          <t>lesCompteursSontIndependantsParTypeEtParEmplacement</t>
        </is>
      </c>
      <c r="E122" s="27" t="inlineStr">
        <is>
          <t>Les compteurs sont independants par type et par emplacement</t>
        </is>
      </c>
    </row>
    <row r="123" ht="18" customHeight="1">
      <c r="A123" s="27" t="inlineStr">
        <is>
          <t>NumerotationServiceTest</t>
        </is>
      </c>
      <c r="B123" s="28" t="inlineStr">
        <is>
          <t>ADM</t>
        </is>
      </c>
      <c r="C123" s="28" t="n">
        <v>4</v>
      </c>
      <c r="D123" s="27" t="inlineStr">
        <is>
          <t>uneTransactionAnnuleeRendLeNumero</t>
        </is>
      </c>
      <c r="E123" s="27" t="inlineStr">
        <is>
          <t>Une transaction annulee rend le numero</t>
        </is>
      </c>
    </row>
    <row r="124" ht="30.4" customHeight="1">
      <c r="A124" s="27" t="inlineStr">
        <is>
          <t>NumerotationServiceTest</t>
        </is>
      </c>
      <c r="B124" s="28" t="inlineStr">
        <is>
          <t>ADM</t>
        </is>
      </c>
      <c r="C124" s="28" t="n">
        <v>5</v>
      </c>
      <c r="D124" s="27" t="inlineStr">
        <is>
          <t>lAppelHorsTransactionEstRefusePourNePasPerdreDeNumero</t>
        </is>
      </c>
      <c r="E124" s="27" t="inlineStr">
        <is>
          <t>L'appel hors transaction est refuse pour ne pas perdre de numero</t>
        </is>
      </c>
    </row>
    <row r="125" ht="30.4" customHeight="1">
      <c r="A125" s="27" t="inlineStr">
        <is>
          <t>NumerotationServiceTest</t>
        </is>
      </c>
      <c r="B125" s="28" t="inlineStr">
        <is>
          <t>ADM</t>
        </is>
      </c>
      <c r="C125" s="28" t="n">
        <v>6</v>
      </c>
      <c r="D125" s="27" t="inlineStr">
        <is>
          <t>vingtDemandesSimultaneesObtiennentVingtNumerosDistinctsSansTrou</t>
        </is>
      </c>
      <c r="E125" s="27" t="inlineStr">
        <is>
          <t>Vingt demandes simultanees obtiennent vingt numeros distincts sans trou</t>
        </is>
      </c>
    </row>
    <row r="126" ht="30.4" customHeight="1">
      <c r="A126" s="27" t="inlineStr">
        <is>
          <t>ReceptionsTest</t>
        </is>
      </c>
      <c r="B126" s="28" t="inlineStr">
        <is>
          <t>REC</t>
        </is>
      </c>
      <c r="C126" s="28" t="n">
        <v>1</v>
      </c>
      <c r="D126" s="27" t="inlineStr">
        <is>
          <t>uneReceptionNOuvrePasTantQueLArrivageNEstPasDedouaneNiHorsDuMagasinOuDuPerimetre</t>
        </is>
      </c>
      <c r="E126" s="27" t="inlineStr">
        <is>
          <t>Une reception nouvre pas tant que larrivage nest pas dedouane ni hors du magasin ou du perimetre</t>
        </is>
      </c>
    </row>
    <row r="127" ht="30.4" customHeight="1">
      <c r="A127" s="27" t="inlineStr">
        <is>
          <t>ReceptionsTest</t>
        </is>
      </c>
      <c r="B127" s="28" t="inlineStr">
        <is>
          <t>REC</t>
        </is>
      </c>
      <c r="C127" s="28" t="n">
        <v>2</v>
      </c>
      <c r="D127" s="27" t="inlineStr">
        <is>
          <t>chaqueScanEstControleEtLeRapprochementSeMetAJourSansToucherAuStock</t>
        </is>
      </c>
      <c r="E127" s="27" t="inlineStr">
        <is>
          <t>Chaque scan est controle et le rapprochement se met ajour sans toucher au stock</t>
        </is>
      </c>
    </row>
    <row r="128" ht="30.4" customHeight="1">
      <c r="A128" s="27" t="inlineStr">
        <is>
          <t>ReceptionsTest</t>
        </is>
      </c>
      <c r="B128" s="28" t="inlineStr">
        <is>
          <t>REC</t>
        </is>
      </c>
      <c r="C128" s="28" t="n">
        <v>3</v>
      </c>
      <c r="D128" s="27" t="inlineStr">
        <is>
          <t>laValidationParUnSecondUtilisateurFaitEntrerLesMotosEnStockEtMetLaCommandeAJour</t>
        </is>
      </c>
      <c r="E128" s="27" t="inlineStr">
        <is>
          <t>La validation par un second utilisateur fait entrer les motos en stock et met la commande ajour</t>
        </is>
      </c>
    </row>
    <row r="129" ht="30.4" customHeight="1">
      <c r="A129" s="27" t="inlineStr">
        <is>
          <t>ReceptionsTest</t>
        </is>
      </c>
      <c r="B129" s="28" t="inlineStr">
        <is>
          <t>REC</t>
        </is>
      </c>
      <c r="C129" s="28" t="n">
        <v>4</v>
      </c>
      <c r="D129" s="27" t="inlineStr">
        <is>
          <t>lePvEstRefuseTantQueLaReceptionNEstPasValidee</t>
        </is>
      </c>
      <c r="E129" s="27" t="inlineStr">
        <is>
          <t>Le pv est refuse tant que la reception nest pas validee</t>
        </is>
      </c>
    </row>
    <row r="130" ht="30.4" customHeight="1">
      <c r="A130" s="27" t="inlineStr">
        <is>
          <t>ReceptionsTest</t>
        </is>
      </c>
      <c r="B130" s="28" t="inlineStr">
        <is>
          <t>REC</t>
        </is>
      </c>
      <c r="C130" s="28" t="n">
        <v>5</v>
      </c>
      <c r="D130" s="27" t="inlineStr">
        <is>
          <t>laSeparationDesTachesSeDesactiveParParametreEtSeRetablitParDefaut</t>
        </is>
      </c>
      <c r="E130" s="27" t="inlineStr">
        <is>
          <t>La separation des taches se desactive par parametre et se retablit par defaut</t>
        </is>
      </c>
    </row>
    <row r="131" ht="30.4" customHeight="1">
      <c r="A131" s="27" t="inlineStr">
        <is>
          <t>ReceptionsTest</t>
        </is>
      </c>
      <c r="B131" s="28" t="inlineStr">
        <is>
          <t>REC</t>
        </is>
      </c>
      <c r="C131" s="28" t="n">
        <v>6</v>
      </c>
      <c r="D131" s="27" t="inlineStr">
        <is>
          <t>chaqueMagasinNeVoitEtNeTraiteQueSesPropresReceptions</t>
        </is>
      </c>
      <c r="E131" s="27" t="inlineStr">
        <is>
          <t>Chaque magasin ne voit et ne traite que ses propres receptions</t>
        </is>
      </c>
    </row>
    <row r="132" ht="30.4" customHeight="1">
      <c r="A132" s="27" t="inlineStr">
        <is>
          <t>ReferentielsEtParametresTest</t>
        </is>
      </c>
      <c r="B132" s="28" t="inlineStr">
        <is>
          <t>ADM</t>
        </is>
      </c>
      <c r="C132" s="28" t="n">
        <v>1</v>
      </c>
      <c r="D132" s="27" t="inlineStr">
        <is>
          <t>lesModesDePaiementEtLesCategoriesDuSrsSontLivres</t>
        </is>
      </c>
      <c r="E132" s="27" t="inlineStr">
        <is>
          <t>Les modes de paiement et les categories du srs sont livres</t>
        </is>
      </c>
    </row>
    <row r="133" ht="30.4" customHeight="1">
      <c r="A133" s="27" t="inlineStr">
        <is>
          <t>ReferentielsEtParametresTest</t>
        </is>
      </c>
      <c r="B133" s="28" t="inlineStr">
        <is>
          <t>ADM</t>
        </is>
      </c>
      <c r="C133" s="28" t="n">
        <v>2</v>
      </c>
      <c r="D133" s="27" t="inlineStr">
        <is>
          <t>uneBanqueSeCreeSeRenommeSeDesactiveEtNeSeSupprimePas</t>
        </is>
      </c>
      <c r="E133" s="27" t="inlineStr">
        <is>
          <t>Une banque se cree se renomme se desactive et ne se supprime pas</t>
        </is>
      </c>
    </row>
    <row r="134" ht="30.4" customHeight="1">
      <c r="A134" s="27" t="inlineStr">
        <is>
          <t>ReferentielsEtParametresTest</t>
        </is>
      </c>
      <c r="B134" s="28" t="inlineStr">
        <is>
          <t>ADM</t>
        </is>
      </c>
      <c r="C134" s="28" t="n">
        <v>3</v>
      </c>
      <c r="D134" s="27" t="inlineStr">
        <is>
          <t>lesCentresDeCoutEtLesCategoriesSuiventLesMemesRegles</t>
        </is>
      </c>
      <c r="E134" s="27" t="inlineStr">
        <is>
          <t>Les centres de cout et les categories suivent les memes regles</t>
        </is>
      </c>
    </row>
    <row r="135" ht="30.4" customHeight="1">
      <c r="A135" s="27" t="inlineStr">
        <is>
          <t>ReferentielsEtParametresTest</t>
        </is>
      </c>
      <c r="B135" s="28" t="inlineStr">
        <is>
          <t>ADM</t>
        </is>
      </c>
      <c r="C135" s="28" t="n">
        <v>4</v>
      </c>
      <c r="D135" s="27" t="inlineStr">
        <is>
          <t>lesListesDeChoixSontLisiblesParTousMaisSeulLAdministrateurEcrit</t>
        </is>
      </c>
      <c r="E135" s="27" t="inlineStr">
        <is>
          <t>Les listes de choix sont lisibles par tous mais seul ladministrateur ecrit</t>
        </is>
      </c>
    </row>
    <row r="136" ht="30.4" customHeight="1">
      <c r="A136" s="27" t="inlineStr">
        <is>
          <t>ReferentielsEtParametresTest</t>
        </is>
      </c>
      <c r="B136" s="28" t="inlineStr">
        <is>
          <t>ADM</t>
        </is>
      </c>
      <c r="C136" s="28" t="n">
        <v>5</v>
      </c>
      <c r="D136" s="27" t="inlineStr">
        <is>
          <t>unFournisseurPorteSesContactsEtSaRaisonSocialeEstUnique</t>
        </is>
      </c>
      <c r="E136" s="27" t="inlineStr">
        <is>
          <t>Un fournisseur porte ses contacts et sa raison sociale est unique</t>
        </is>
      </c>
    </row>
    <row r="137" ht="30.4" customHeight="1">
      <c r="A137" s="27" t="inlineStr">
        <is>
          <t>ReferentielsEtParametresTest</t>
        </is>
      </c>
      <c r="B137" s="28" t="inlineStr">
        <is>
          <t>ADM</t>
        </is>
      </c>
      <c r="C137" s="28" t="n">
        <v>6</v>
      </c>
      <c r="D137" s="27" t="inlineStr">
        <is>
          <t>unModeDePaiementSeTraduitVersLaNomenclatureDeLaDgi</t>
        </is>
      </c>
      <c r="E137" s="27" t="inlineStr">
        <is>
          <t>Un mode de paiement se traduit vers la nomenclature de la dgi</t>
        </is>
      </c>
    </row>
    <row r="138" ht="18" customHeight="1">
      <c r="A138" s="27" t="inlineStr">
        <is>
          <t>ReferentielsEtParametresTest</t>
        </is>
      </c>
      <c r="B138" s="28" t="inlineStr">
        <is>
          <t>ADM</t>
        </is>
      </c>
      <c r="C138" s="28" t="n">
        <v>7</v>
      </c>
      <c r="D138" s="27" t="inlineStr">
        <is>
          <t>leCatalogueDeParametresNInventeAucuneValeur</t>
        </is>
      </c>
      <c r="E138" s="27" t="inlineStr">
        <is>
          <t>Le catalogue de parametres ninvente aucune valeur</t>
        </is>
      </c>
    </row>
    <row r="139" ht="30.4" customHeight="1">
      <c r="A139" s="27" t="inlineStr">
        <is>
          <t>ReferentielsEtParametresTest</t>
        </is>
      </c>
      <c r="B139" s="28" t="inlineStr">
        <is>
          <t>ADM</t>
        </is>
      </c>
      <c r="C139" s="28" t="n">
        <v>8</v>
      </c>
      <c r="D139" s="27" t="inlineStr">
        <is>
          <t>uneValeurSeFixeAvecSaDateDEffetEtConserveSonHistorique</t>
        </is>
      </c>
      <c r="E139" s="27" t="inlineStr">
        <is>
          <t>Une valeur se fixe avec sa date deffet et conserve son historique</t>
        </is>
      </c>
    </row>
    <row r="140" ht="18" customHeight="1">
      <c r="A140" s="27" t="inlineStr">
        <is>
          <t>ReferentielsEtParametresTest</t>
        </is>
      </c>
      <c r="B140" s="28" t="inlineStr">
        <is>
          <t>ADM</t>
        </is>
      </c>
      <c r="C140" s="28" t="n">
        <v>9</v>
      </c>
      <c r="D140" s="27" t="inlineStr">
        <is>
          <t>uneValeurInvalideOuAntidateeEstRefusee</t>
        </is>
      </c>
      <c r="E140" s="27" t="inlineStr">
        <is>
          <t>Une valeur invalide ou antidatee est refusee</t>
        </is>
      </c>
    </row>
    <row r="141" ht="30.4" customHeight="1">
      <c r="A141" s="27" t="inlineStr">
        <is>
          <t>ReferentielsEtParametresTest</t>
        </is>
      </c>
      <c r="B141" s="28" t="inlineStr">
        <is>
          <t>ADM</t>
        </is>
      </c>
      <c r="C141" s="28" t="n">
        <v>10</v>
      </c>
      <c r="D141" s="27" t="inlineStr">
        <is>
          <t>laSyntheseDuTableauDeBordResumeLeParametrageEtSignaleLesAlertes</t>
        </is>
      </c>
      <c r="E141" s="27" t="inlineStr">
        <is>
          <t>La synthese du tableau de bord resume le parametrage et signale les alertes</t>
        </is>
      </c>
    </row>
    <row r="142" ht="30.4" customHeight="1">
      <c r="A142" s="27" t="inlineStr">
        <is>
          <t>ReferentielsEtParametresTest</t>
        </is>
      </c>
      <c r="B142" s="28" t="inlineStr">
        <is>
          <t>ADM</t>
        </is>
      </c>
      <c r="C142" s="28" t="n">
        <v>11</v>
      </c>
      <c r="D142" s="27" t="inlineStr">
        <is>
          <t>lActiviteDuJournalDemandeLeDroitDeLeConsulter</t>
        </is>
      </c>
      <c r="E142" s="27" t="inlineStr">
        <is>
          <t>L'activite du journal demande le droit de le consulter</t>
        </is>
      </c>
    </row>
    <row r="143" ht="30.4" customHeight="1">
      <c r="A143" s="27" t="inlineStr">
        <is>
          <t>RolesEtPermissionsTest</t>
        </is>
      </c>
      <c r="B143" s="28" t="inlineStr">
        <is>
          <t>ADM</t>
        </is>
      </c>
      <c r="C143" s="28" t="n">
        <v>1</v>
      </c>
      <c r="D143" s="27" t="inlineStr">
        <is>
          <t>lesHuitRolesDuSrsSontLivresAvecLaMatriceParDefaut</t>
        </is>
      </c>
      <c r="E143" s="27" t="inlineStr">
        <is>
          <t>Les huit roles du srs sont livres avec la matrice par defaut</t>
        </is>
      </c>
    </row>
    <row r="144" ht="18" customHeight="1">
      <c r="A144" s="27" t="inlineStr">
        <is>
          <t>RolesEtPermissionsTest</t>
        </is>
      </c>
      <c r="B144" s="28" t="inlineStr">
        <is>
          <t>ADM</t>
        </is>
      </c>
      <c r="C144" s="28" t="n">
        <v>2</v>
      </c>
      <c r="D144" s="27" t="inlineStr">
        <is>
          <t>leCatalogueDePermissionsEstExposeAuFront</t>
        </is>
      </c>
      <c r="E144" s="27" t="inlineStr">
        <is>
          <t>Le catalogue de permissions est expose au front</t>
        </is>
      </c>
    </row>
    <row r="145" ht="30.4" customHeight="1">
      <c r="A145" s="27" t="inlineStr">
        <is>
          <t>RolesEtPermissionsTest</t>
        </is>
      </c>
      <c r="B145" s="28" t="inlineStr">
        <is>
          <t>ADM</t>
        </is>
      </c>
      <c r="C145" s="28" t="n">
        <v>3</v>
      </c>
      <c r="D145" s="27" t="inlineStr">
        <is>
          <t>unRolePersonnaliseSeCreeSeModifieEtSeSupprimeSousConditions</t>
        </is>
      </c>
      <c r="E145" s="27" t="inlineStr">
        <is>
          <t>Un role personnalise se cree se modifie et se supprime sous conditions</t>
        </is>
      </c>
    </row>
    <row r="146" ht="18" customHeight="1">
      <c r="A146" s="27" t="inlineStr">
        <is>
          <t>RolesEtPermissionsTest</t>
        </is>
      </c>
      <c r="B146" s="28" t="inlineStr">
        <is>
          <t>ADM</t>
        </is>
      </c>
      <c r="C146" s="28" t="n">
        <v>4</v>
      </c>
      <c r="D146" s="27" t="inlineStr">
        <is>
          <t>unRoleLivreParDefautNeSeSupprimePas</t>
        </is>
      </c>
      <c r="E146" s="27" t="inlineStr">
        <is>
          <t>Un role livre par defaut ne se supprime pas</t>
        </is>
      </c>
    </row>
    <row r="147" ht="30.4" customHeight="1">
      <c r="A147" s="27" t="inlineStr">
        <is>
          <t>RolesEtPermissionsTest</t>
        </is>
      </c>
      <c r="B147" s="28" t="inlineStr">
        <is>
          <t>ADM</t>
        </is>
      </c>
      <c r="C147" s="28" t="n">
        <v>5</v>
      </c>
      <c r="D147" s="27" t="inlineStr">
        <is>
          <t>unRoleInutiliseSeSupprimeEtLaSuppressionEstTracee</t>
        </is>
      </c>
      <c r="E147" s="27" t="inlineStr">
        <is>
          <t>Un role inutilise se supprime et la suppression est tracee</t>
        </is>
      </c>
    </row>
    <row r="148" ht="30.4" customHeight="1">
      <c r="A148" s="27" t="inlineStr">
        <is>
          <t>StockInitialTest</t>
        </is>
      </c>
      <c r="B148" s="28" t="inlineStr">
        <is>
          <t>REP</t>
        </is>
      </c>
      <c r="C148" s="28" t="n">
        <v>1</v>
      </c>
      <c r="D148" s="27" t="inlineStr">
        <is>
          <t>leStockInitialSImporteParChassisAvecRapportLignesRejeteesEtSansDoublon</t>
        </is>
      </c>
      <c r="E148" s="27" t="inlineStr">
        <is>
          <t>Le stock initial simporte par chassis avec rapport lignes rejetees et sans doublon</t>
        </is>
      </c>
    </row>
    <row r="149" ht="30.4" customHeight="1">
      <c r="A149" s="27" t="inlineStr">
        <is>
          <t>StockInitialTest</t>
        </is>
      </c>
      <c r="B149" s="28" t="inlineStr">
        <is>
          <t>REP</t>
        </is>
      </c>
      <c r="C149" s="28" t="n">
        <v>2</v>
      </c>
      <c r="D149" s="27" t="inlineStr">
        <is>
          <t>leModeleExcelSeTelechargeEtSeRelitDirectement</t>
        </is>
      </c>
      <c r="E149" s="27" t="inlineStr">
        <is>
          <t>Le modele excel se telecharge et se relit directement</t>
        </is>
      </c>
    </row>
    <row r="150" ht="30.4" customHeight="1">
      <c r="A150" s="27" t="inlineStr">
        <is>
          <t>StockInitialTest</t>
        </is>
      </c>
      <c r="B150" s="28" t="inlineStr">
        <is>
          <t>REP</t>
        </is>
      </c>
      <c r="C150" s="28" t="n">
        <v>3</v>
      </c>
      <c r="D150" s="27" t="inlineStr">
        <is>
          <t>lePointageSurSiteComparesStockAttenduEtStockReelEtConserveLeRapport</t>
        </is>
      </c>
      <c r="E150" s="27" t="inlineStr">
        <is>
          <t>Le pointage sur site compares stock attendu et stock reel et conserve le rapport</t>
        </is>
      </c>
    </row>
    <row r="151" ht="30.4" customHeight="1">
      <c r="A151" s="27" t="inlineStr">
        <is>
          <t>StockTest</t>
        </is>
      </c>
      <c r="B151" s="28" t="inlineStr">
        <is>
          <t>STK</t>
        </is>
      </c>
      <c r="C151" s="28" t="n">
        <v>1</v>
      </c>
      <c r="D151" s="27" t="inlineStr">
        <is>
          <t>leStockSeCalculeSurLesChassisSelonLesDefinitionsDuSrs</t>
        </is>
      </c>
      <c r="E151" s="27" t="inlineStr">
        <is>
          <t>Le stock se calcule sur les chassis selon les definitions du srs</t>
        </is>
      </c>
    </row>
    <row r="152" ht="30.4" customHeight="1">
      <c r="A152" s="27" t="inlineStr">
        <is>
          <t>StockTest</t>
        </is>
      </c>
      <c r="B152" s="28" t="inlineStr">
        <is>
          <t>STK</t>
        </is>
      </c>
      <c r="C152" s="28" t="n">
        <v>2</v>
      </c>
      <c r="D152" s="27" t="inlineStr">
        <is>
          <t>chaqueUtilisateurNeVoitQueLeStockDeSesEmplacements</t>
        </is>
      </c>
      <c r="E152" s="27" t="inlineStr">
        <is>
          <t>Chaque utilisateur ne voit que le stock de ses emplacements</t>
        </is>
      </c>
    </row>
    <row r="153" ht="30.4" customHeight="1">
      <c r="A153" s="27" t="inlineStr">
        <is>
          <t>StockTest</t>
        </is>
      </c>
      <c r="B153" s="28" t="inlineStr">
        <is>
          <t>STK</t>
        </is>
      </c>
      <c r="C153" s="28" t="n">
        <v>3</v>
      </c>
      <c r="D153" s="27" t="inlineStr">
        <is>
          <t>blocageEtDeblocageExigentUnDroitUnMotifEtUnePieceEtSontTraces</t>
        </is>
      </c>
      <c r="E153" s="27" t="inlineStr">
        <is>
          <t>Blocage et deblocage exigent un droit un motif et une piece et sont traces</t>
        </is>
      </c>
    </row>
    <row r="154" ht="30.4" customHeight="1">
      <c r="A154" s="27" t="inlineStr">
        <is>
          <t>StockTest</t>
        </is>
      </c>
      <c r="B154" s="28" t="inlineStr">
        <is>
          <t>STK</t>
        </is>
      </c>
      <c r="C154" s="28" t="n">
        <v>4</v>
      </c>
      <c r="D154" s="27" t="inlineStr">
        <is>
          <t>leJournalDesMouvementsSeFiltreEtRespecteLePerimetre</t>
        </is>
      </c>
      <c r="E154" s="27" t="inlineStr">
        <is>
          <t>Le journal des mouvements se filtre et respecte le perimetre</t>
        </is>
      </c>
    </row>
    <row r="155" ht="30.4" customHeight="1">
      <c r="A155" s="27" t="inlineStr">
        <is>
          <t>StockTest</t>
        </is>
      </c>
      <c r="B155" s="28" t="inlineStr">
        <is>
          <t>STK</t>
        </is>
      </c>
      <c r="C155" s="28" t="n">
        <v>5</v>
      </c>
      <c r="D155" s="27" t="inlineStr">
        <is>
          <t>unEmplacementQuiPorteDuStockNeSeDesactivePasEtUneBoutiqueNeChangePasDeMode</t>
        </is>
      </c>
      <c r="E155" s="27" t="inlineStr">
        <is>
          <t>Un emplacement qui porte du stock ne se desactive pas et une boutique ne change pas de mode</t>
        </is>
      </c>
    </row>
    <row r="156" ht="30.4" customHeight="1">
      <c r="A156" s="27" t="inlineStr">
        <is>
          <t>StockTest</t>
        </is>
      </c>
      <c r="B156" s="28" t="inlineStr">
        <is>
          <t>STK</t>
        </is>
      </c>
      <c r="C156" s="28" t="n">
        <v>6</v>
      </c>
      <c r="D156" s="27" t="inlineStr">
        <is>
          <t>aucuneRouteNePermetDeModifierUneQuantiteDeStock</t>
        </is>
      </c>
      <c r="E156" s="27" t="inlineStr">
        <is>
          <t>Aucune route ne permet de modifier une quantite de stock</t>
        </is>
      </c>
    </row>
    <row r="157" ht="30.4" customHeight="1">
      <c r="A157" s="27" t="inlineStr">
        <is>
          <t>TableauDeBordMetierTest</t>
        </is>
      </c>
      <c r="B157" s="28" t="inlineStr">
        <is>
          <t>ADM</t>
        </is>
      </c>
      <c r="C157" s="28" t="n">
        <v>1</v>
      </c>
      <c r="D157" s="27" t="inlineStr">
        <is>
          <t>leDomaineCommercialMontreCeQuiSeVendDansLePerimetreDeLaPersonne</t>
        </is>
      </c>
      <c r="E157" s="27" t="inlineStr">
        <is>
          <t>Le domaine commercial montre ce qui se vend dans le perimetre de la personne</t>
        </is>
      </c>
    </row>
    <row r="158" ht="30.4" customHeight="1">
      <c r="A158" s="27" t="inlineStr">
        <is>
          <t>TableauDeBordMetierTest</t>
        </is>
      </c>
      <c r="B158" s="28" t="inlineStr">
        <is>
          <t>ADM</t>
        </is>
      </c>
      <c r="C158" s="28" t="n">
        <v>2</v>
      </c>
      <c r="D158" s="27" t="inlineStr">
        <is>
          <t>leDomaineManagementConsolideStockApprovisionnementsEtControle</t>
        </is>
      </c>
      <c r="E158" s="27" t="inlineStr">
        <is>
          <t>Le domaine management consolide stock approvisionnements et controle</t>
        </is>
      </c>
    </row>
    <row r="159" ht="30.4" customHeight="1">
      <c r="A159" s="27" t="inlineStr">
        <is>
          <t>TransfertsTest</t>
        </is>
      </c>
      <c r="B159" s="28" t="inlineStr">
        <is>
          <t>TRF</t>
        </is>
      </c>
      <c r="C159" s="28" t="n">
        <v>1</v>
      </c>
      <c r="D159" s="27" t="inlineStr">
        <is>
          <t>laCreationExigeUneListeDeChassisDisponiblesALaSourceEtNeBougeRien</t>
        </is>
      </c>
      <c r="E159" s="27" t="inlineStr">
        <is>
          <t>La creation exige une liste de chassis disponibles ala source et ne bouge rien</t>
        </is>
      </c>
    </row>
    <row r="160" ht="30.4" customHeight="1">
      <c r="A160" s="27" t="inlineStr">
        <is>
          <t>TransfertsTest</t>
        </is>
      </c>
      <c r="B160" s="28" t="inlineStr">
        <is>
          <t>TRF</t>
        </is>
      </c>
      <c r="C160" s="28" t="n">
        <v>2</v>
      </c>
      <c r="D160" s="27" t="inlineStr">
        <is>
          <t>unTransfertInitieSeModifieSAnnuleEtNeSeCorrigePlusApresExpedition</t>
        </is>
      </c>
      <c r="E160" s="27" t="inlineStr">
        <is>
          <t>Un transfert initie se modifie sannule et ne se corrige plus apres expedition</t>
        </is>
      </c>
    </row>
    <row r="161" ht="30.4" customHeight="1">
      <c r="A161" s="27" t="inlineStr">
        <is>
          <t>TransfertsTest</t>
        </is>
      </c>
      <c r="B161" s="28" t="inlineStr">
        <is>
          <t>TRF</t>
        </is>
      </c>
      <c r="C161" s="28" t="n">
        <v>3</v>
      </c>
      <c r="D161" s="27" t="inlineStr">
        <is>
          <t>lExpeditionFaitSortirLesChassisDeLaSourceEtLesMetEnTransit</t>
        </is>
      </c>
      <c r="E161" s="27" t="inlineStr">
        <is>
          <t>L'expedition fait sortir les chassis de la source et les met en transit</t>
        </is>
      </c>
    </row>
    <row r="162" ht="30.4" customHeight="1">
      <c r="A162" s="27" t="inlineStr">
        <is>
          <t>TransfertsTest</t>
        </is>
      </c>
      <c r="B162" s="28" t="inlineStr">
        <is>
          <t>TRF</t>
        </is>
      </c>
      <c r="C162" s="28" t="n">
        <v>4</v>
      </c>
      <c r="D162" s="27" t="inlineStr">
        <is>
          <t>laReceptionParPointagePeutSeFaireEnPlusieursFoisEtRefuseLesChassisNonPrevus</t>
        </is>
      </c>
      <c r="E162" s="27" t="inlineStr">
        <is>
          <t>La reception par pointage peut se faire en plusieurs fois et refuse les chassis non prevus</t>
        </is>
      </c>
    </row>
    <row r="163" ht="30.4" customHeight="1">
      <c r="A163" s="27" t="inlineStr">
        <is>
          <t>TransfertsTest</t>
        </is>
      </c>
      <c r="B163" s="28" t="inlineStr">
        <is>
          <t>TRF</t>
        </is>
      </c>
      <c r="C163" s="28" t="n">
        <v>5</v>
      </c>
      <c r="D163" s="27" t="inlineStr">
        <is>
          <t>laSeparationDesTachesSeParametreEtUnEcartCloturOuvreLAnomalieA12</t>
        </is>
      </c>
      <c r="E163" s="27" t="inlineStr">
        <is>
          <t>La separation des taches se parametre et un ecart clotur ouvre lanomalie a12</t>
        </is>
      </c>
    </row>
    <row r="164" ht="30.4" customHeight="1">
      <c r="A164" s="27" t="inlineStr">
        <is>
          <t>TransfertsTest</t>
        </is>
      </c>
      <c r="B164" s="28" t="inlineStr">
        <is>
          <t>TRF</t>
        </is>
      </c>
      <c r="C164" s="28" t="n">
        <v>6</v>
      </c>
      <c r="D164" s="27" t="inlineStr">
        <is>
          <t>unTransfertNonReceptionneApresLeDelaiAlerteEtOuvreLAnomalie</t>
        </is>
      </c>
      <c r="E164" s="27" t="inlineStr">
        <is>
          <t>Un transfert non receptionne apres le delai alerte et ouvre lanomalie</t>
        </is>
      </c>
    </row>
    <row r="165" ht="30.4" customHeight="1">
      <c r="A165" s="27" t="inlineStr">
        <is>
          <t>EnvoiLienCompteMessagerieTest</t>
        </is>
      </c>
      <c r="B165" s="28" t="inlineStr">
        <is>
          <t>ADM</t>
        </is>
      </c>
      <c r="C165" s="28" t="n">
        <v>1</v>
      </c>
      <c r="D165" s="27" t="inlineStr">
        <is>
          <t>lEmailDActivationArriveAvecLeLienLaValiditeEtLExpediteurConfigure</t>
        </is>
      </c>
      <c r="E165" s="27" t="inlineStr">
        <is>
          <t>L'email dactivation arrive avec le lien la validite et lexpediteur configure</t>
        </is>
      </c>
    </row>
    <row r="166" ht="30.4" customHeight="1">
      <c r="A166" s="27" t="inlineStr">
        <is>
          <t>EnvoiLienCompteMessagerieTest</t>
        </is>
      </c>
      <c r="B166" s="28" t="inlineStr">
        <is>
          <t>ADM</t>
        </is>
      </c>
      <c r="C166" s="28" t="n">
        <v>2</v>
      </c>
      <c r="D166" s="27" t="inlineStr">
        <is>
          <t>lEmailDeReinitialisationIndiqueSaDureeEnMinutes</t>
        </is>
      </c>
      <c r="E166" s="27" t="inlineStr">
        <is>
          <t>L'email de reinitialisation indique sa duree en minutes</t>
        </is>
      </c>
    </row>
    <row r="167" ht="30.4" customHeight="1">
      <c r="A167" s="27" t="inlineStr">
        <is>
          <t>EnvoiLienCompteMessagerieTest</t>
        </is>
      </c>
      <c r="B167" s="28" t="inlineStr">
        <is>
          <t>ADM</t>
        </is>
      </c>
      <c r="C167" s="28" t="n">
        <v>3</v>
      </c>
      <c r="D167" s="27" t="inlineStr">
        <is>
          <t>sansServeurSmtpConfigureRienNEstEnvoyeEtAucuneErreurNeRemonte</t>
        </is>
      </c>
      <c r="E167" s="27" t="inlineStr">
        <is>
          <t>Sans serveur smtp configure rien nest envoye et aucune erreur ne remonte</t>
        </is>
      </c>
    </row>
    <row r="168" ht="30.4" customHeight="1">
      <c r="A168" s="27" t="inlineStr">
        <is>
          <t>EnvoiLienCompteMessagerieTest</t>
        </is>
      </c>
      <c r="B168" s="28" t="inlineStr">
        <is>
          <t>ADM</t>
        </is>
      </c>
      <c r="C168" s="28" t="n">
        <v>4</v>
      </c>
      <c r="D168" s="27" t="inlineStr">
        <is>
          <t>uneEnPanneDuServeurSmtpNeFaitJamaisEchouerLOperationMetier</t>
        </is>
      </c>
      <c r="E168" s="27" t="inlineStr">
        <is>
          <t>Une en panne du serveur smtp ne fait jamais echouer loperation metier</t>
        </is>
      </c>
    </row>
    <row r="169" ht="18" customHeight="1">
      <c r="A169" s="27" t="inlineStr">
        <is>
          <t>EnvoiLienCompteMessagerieTest</t>
        </is>
      </c>
      <c r="B169" s="28" t="inlineStr">
        <is>
          <t>ADM</t>
        </is>
      </c>
      <c r="C169" s="28" t="n">
        <v>5</v>
      </c>
      <c r="D169" s="27" t="inlineStr">
        <is>
          <t>lesDureesSAffichentEnLangageNaturel</t>
        </is>
      </c>
      <c r="E169" s="27" t="inlineStr">
        <is>
          <t>Les durees saffichent en langage naturel</t>
        </is>
      </c>
    </row>
    <row r="170" ht="18" customHeight="1">
      <c r="A170" s="27" t="inlineStr">
        <is>
          <t>TotpTest</t>
        </is>
      </c>
      <c r="B170" s="28" t="inlineStr">
        <is>
          <t>ADM</t>
        </is>
      </c>
      <c r="C170" s="28" t="n">
        <v>1</v>
      </c>
      <c r="D170" s="27" t="inlineStr">
        <is>
          <t>lesVecteursDeLaRfc6238SontReproduits</t>
        </is>
      </c>
      <c r="E170" s="27" t="inlineStr">
        <is>
          <t>Les vecteurs de la rfc6238 sont reproduits</t>
        </is>
      </c>
    </row>
    <row r="171" ht="18" customHeight="1">
      <c r="A171" s="27" t="inlineStr">
        <is>
          <t>TotpTest</t>
        </is>
      </c>
      <c r="B171" s="28" t="inlineStr">
        <is>
          <t>ADM</t>
        </is>
      </c>
      <c r="C171" s="28" t="n">
        <v>2</v>
      </c>
      <c r="D171" s="27" t="inlineStr">
        <is>
          <t>leBase32SAllerRetourneSansPerte</t>
        </is>
      </c>
      <c r="E171" s="27" t="inlineStr">
        <is>
          <t>Le base32 saller retourne sans perte</t>
        </is>
      </c>
    </row>
    <row r="172" ht="30.4" customHeight="1">
      <c r="A172" s="27" t="inlineStr">
        <is>
          <t>TotpTest</t>
        </is>
      </c>
      <c r="B172" s="28" t="inlineStr">
        <is>
          <t>ADM</t>
        </is>
      </c>
      <c r="C172" s="28" t="n">
        <v>3</v>
      </c>
      <c r="D172" s="27" t="inlineStr">
        <is>
          <t>uneDeriveDHorlogeDUnPasEstTolereeMaisPasDeuxPas</t>
        </is>
      </c>
      <c r="E172" s="27" t="inlineStr">
        <is>
          <t>Une derive dhorloge dun pas est toleree mais pas deux pas</t>
        </is>
      </c>
    </row>
    <row r="173" ht="18" customHeight="1">
      <c r="A173" s="27" t="inlineStr">
        <is>
          <t>TotpTest</t>
        </is>
      </c>
      <c r="B173" s="28" t="inlineStr">
        <is>
          <t>ADM</t>
        </is>
      </c>
      <c r="C173" s="28" t="n">
        <v>4</v>
      </c>
      <c r="D173" s="27" t="inlineStr">
        <is>
          <t>unCodeDejaAccepteNePeutPasEtreRejoue</t>
        </is>
      </c>
      <c r="E173" s="27" t="inlineStr">
        <is>
          <t>Un code deja accepte ne peut pas etre rejoue</t>
        </is>
      </c>
    </row>
    <row r="174" ht="18" customHeight="1">
      <c r="A174" s="27" t="inlineStr">
        <is>
          <t>TotpTest</t>
        </is>
      </c>
      <c r="B174" s="28" t="inlineStr">
        <is>
          <t>ADM</t>
        </is>
      </c>
      <c r="C174" s="28" t="n">
        <v>5</v>
      </c>
      <c r="D174" s="27" t="inlineStr">
        <is>
          <t>uneSaisieMalFormeeEstRefuseeSansErreur</t>
        </is>
      </c>
      <c r="E174" s="27" t="inlineStr">
        <is>
          <t>Une saisie mal formee est refusee sans erreur</t>
        </is>
      </c>
    </row>
    <row r="175" ht="30.4" customHeight="1">
      <c r="A175" s="27" t="inlineStr">
        <is>
          <t>TotpTest</t>
        </is>
      </c>
      <c r="B175" s="28" t="inlineStr">
        <is>
          <t>ADM</t>
        </is>
      </c>
      <c r="C175" s="28" t="n">
        <v>6</v>
      </c>
      <c r="D175" s="27" t="inlineStr">
        <is>
          <t>lUriDeConfigurationEstLisibleParLesApplications</t>
        </is>
      </c>
      <c r="E175" s="27" t="inlineStr">
        <is>
          <t>L'uri de configuration est lisible par les applications</t>
        </is>
      </c>
    </row>
    <row r="176" ht="30.4" customHeight="1">
      <c r="A176" s="27" t="inlineStr">
        <is>
          <t>JournalAuditTest</t>
        </is>
      </c>
      <c r="B176" s="28" t="inlineStr">
        <is>
          <t>ADM</t>
        </is>
      </c>
      <c r="C176" s="28" t="n">
        <v>1</v>
      </c>
      <c r="D176" s="27" t="inlineStr">
        <is>
          <t>uneEntreeEstEnregistreeAvecSesValeursAvantEtApres</t>
        </is>
      </c>
      <c r="E176" s="27" t="inlineStr">
        <is>
          <t>Une entree est enregistree avec ses valeurs avant et apres</t>
        </is>
      </c>
    </row>
    <row r="177" ht="30.4" customHeight="1">
      <c r="A177" s="27" t="inlineStr">
        <is>
          <t>JournalAuditTest</t>
        </is>
      </c>
      <c r="B177" s="28" t="inlineStr">
        <is>
          <t>ADM</t>
        </is>
      </c>
      <c r="C177" s="28" t="n">
        <v>2</v>
      </c>
      <c r="D177" s="27" t="inlineStr">
        <is>
          <t>lEnregistrementExigeUneTransactionPourEtreValideAvecLOperation</t>
        </is>
      </c>
      <c r="E177" s="27" t="inlineStr">
        <is>
          <t>L'enregistrement exige une transaction pour etre valide avec loperation</t>
        </is>
      </c>
    </row>
    <row r="178" ht="18" customHeight="1">
      <c r="A178" s="27" t="inlineStr">
        <is>
          <t>JournalAuditTest</t>
        </is>
      </c>
      <c r="B178" s="28" t="inlineStr">
        <is>
          <t>ADM</t>
        </is>
      </c>
      <c r="C178" s="28" t="n">
        <v>3</v>
      </c>
      <c r="D178" s="27" t="inlineStr">
        <is>
          <t>lesEntreesSontChaineesEtLaChaineEstIntacte</t>
        </is>
      </c>
      <c r="E178" s="27" t="inlineStr">
        <is>
          <t>Les entrees sont chainees et la chaine est intacte</t>
        </is>
      </c>
    </row>
    <row r="179" ht="18" customHeight="1">
      <c r="A179" s="27" t="inlineStr">
        <is>
          <t>JournalAuditTest</t>
        </is>
      </c>
      <c r="B179" s="28" t="inlineStr">
        <is>
          <t>ADM</t>
        </is>
      </c>
      <c r="C179" s="28" t="n">
        <v>4</v>
      </c>
      <c r="D179" s="27" t="inlineStr">
        <is>
          <t>modifierSupprimerOuViderLeJournalEstRefuse</t>
        </is>
      </c>
      <c r="E179" s="27" t="inlineStr">
        <is>
          <t>Modifier supprimer ou vider le journal est refuse</t>
        </is>
      </c>
    </row>
    <row r="180" ht="30.4" customHeight="1">
      <c r="A180" s="27" t="inlineStr">
        <is>
          <t>JournalAuditTest</t>
        </is>
      </c>
      <c r="B180" s="28" t="inlineStr">
        <is>
          <t>ADM</t>
        </is>
      </c>
      <c r="C180" s="28" t="n">
        <v>5</v>
      </c>
      <c r="D180" s="27" t="inlineStr">
        <is>
          <t>uneFalsificationContourneeParUnDroitDeProprietaireEstDetectee</t>
        </is>
      </c>
      <c r="E180" s="27" t="inlineStr">
        <is>
          <t>Une falsification contournee par un droit de proprietaire est detectee</t>
        </is>
      </c>
    </row>
    <row r="181" ht="30.4" customHeight="1">
      <c r="A181" s="27" t="inlineStr">
        <is>
          <t>JournalAuditTest</t>
        </is>
      </c>
      <c r="B181" s="28" t="inlineStr">
        <is>
          <t>ADM</t>
        </is>
      </c>
      <c r="C181" s="28" t="n">
        <v>6</v>
      </c>
      <c r="D181" s="27" t="inlineStr">
        <is>
          <t>desEcrituresConcurrentesGardentUneChaineSansTrou</t>
        </is>
      </c>
      <c r="E181" s="27" t="inlineStr">
        <is>
          <t>Des ecritures concurrentes gardent une chaine sans trou</t>
        </is>
      </c>
    </row>
    <row r="182" ht="30.4" customHeight="1">
      <c r="A182" s="27" t="inlineStr">
        <is>
          <t>GestionnaireErreursTest</t>
        </is>
      </c>
      <c r="B182" s="28" t="inlineStr">
        <is>
          <t>TRV</t>
        </is>
      </c>
      <c r="C182" s="28" t="n">
        <v>1</v>
      </c>
      <c r="D182" s="27" t="inlineStr">
        <is>
          <t>uneErreurMetierRenvoieSonCodeStableEtSonMessage</t>
        </is>
      </c>
      <c r="E182" s="27" t="inlineStr">
        <is>
          <t>Une erreur metier renvoie son code stable et son message</t>
        </is>
      </c>
    </row>
    <row r="183" ht="18" customHeight="1">
      <c r="A183" s="27" t="inlineStr">
        <is>
          <t>GestionnaireErreursTest</t>
        </is>
      </c>
      <c r="B183" s="28" t="inlineStr">
        <is>
          <t>TRV</t>
        </is>
      </c>
      <c r="C183" s="28" t="n">
        <v>2</v>
      </c>
      <c r="D183" s="27" t="inlineStr">
        <is>
          <t>lEtatHttpDUneErreurMetierPeutEtreChoisi</t>
        </is>
      </c>
      <c r="E183" s="27" t="inlineStr">
        <is>
          <t>L'etat http dune erreur metier peut etre choisi</t>
        </is>
      </c>
    </row>
    <row r="184" ht="18" customHeight="1">
      <c r="A184" s="27" t="inlineStr">
        <is>
          <t>GestionnaireErreursTest</t>
        </is>
      </c>
      <c r="B184" s="28" t="inlineStr">
        <is>
          <t>TRV</t>
        </is>
      </c>
      <c r="C184" s="28" t="n">
        <v>3</v>
      </c>
      <c r="D184" s="27" t="inlineStr">
        <is>
          <t>unChampInvalideListeSesErreursParChamp</t>
        </is>
      </c>
      <c r="E184" s="27" t="inlineStr">
        <is>
          <t>Un champ invalide liste ses erreurs par champ</t>
        </is>
      </c>
    </row>
    <row r="185" ht="30.4" customHeight="1">
      <c r="A185" s="27" t="inlineStr">
        <is>
          <t>GestionnaireErreursTest</t>
        </is>
      </c>
      <c r="B185" s="28" t="inlineStr">
        <is>
          <t>TRV</t>
        </is>
      </c>
      <c r="C185" s="28" t="n">
        <v>4</v>
      </c>
      <c r="D185" s="27" t="inlineStr">
        <is>
          <t>uneErreurInattendueNeDivulguePasLeDetailTechnique</t>
        </is>
      </c>
      <c r="E185" s="27" t="inlineStr">
        <is>
          <t>Une erreur inattendue ne divulgue pas le detail technique</t>
        </is>
      </c>
    </row>
    <row r="186" ht="18" customHeight="1">
      <c r="A186" s="27" t="inlineStr">
        <is>
          <t>SecuriteTest</t>
        </is>
      </c>
      <c r="B186" s="28" t="inlineStr">
        <is>
          <t>TRV</t>
        </is>
      </c>
      <c r="C186" s="28" t="n">
        <v>1</v>
      </c>
      <c r="D186" s="27" t="inlineStr">
        <is>
          <t>lEtatDeSanteEstPublicEtVerifieLaBase</t>
        </is>
      </c>
      <c r="E186" s="27" t="inlineStr">
        <is>
          <t>L'etat de sante est public et verifie la base</t>
        </is>
      </c>
    </row>
    <row r="187" ht="18" customHeight="1">
      <c r="A187" s="27" t="inlineStr">
        <is>
          <t>SecuriteTest</t>
        </is>
      </c>
      <c r="B187" s="28" t="inlineStr">
        <is>
          <t>TRV</t>
        </is>
      </c>
      <c r="C187" s="28" t="n">
        <v>2</v>
      </c>
      <c r="D187" s="27" t="inlineStr">
        <is>
          <t>toutLeResteExigeUneAuthentification</t>
        </is>
      </c>
      <c r="E187" s="27" t="inlineStr">
        <is>
          <t>Tout le reste exige une authentification</t>
        </is>
      </c>
    </row>
    <row r="188" ht="18" customHeight="1">
      <c r="A188" s="27" t="inlineStr">
        <is>
          <t>SecuriteTest</t>
        </is>
      </c>
      <c r="B188" s="28" t="inlineStr">
        <is>
          <t>TRV</t>
        </is>
      </c>
      <c r="C188" s="28" t="n">
        <v>3</v>
      </c>
      <c r="D188" s="27" t="inlineStr">
        <is>
          <t>uneEcritureSansJetonCsrfEstRefusee</t>
        </is>
      </c>
      <c r="E188" s="27" t="inlineStr">
        <is>
          <t>Une ecriture sans jeton csrf est refusee</t>
        </is>
      </c>
    </row>
    <row r="189" ht="30.4" customHeight="1">
      <c r="A189" s="27" t="inlineStr">
        <is>
          <t>SecuriteTest</t>
        </is>
      </c>
      <c r="B189" s="28" t="inlineStr">
        <is>
          <t>TRV</t>
        </is>
      </c>
      <c r="C189" s="28" t="n">
        <v>4</v>
      </c>
      <c r="D189" s="27" t="inlineStr">
        <is>
          <t>leFrontAutoriseEstAccepteAvecSesCookiesEtUneOrigineInconnueRefusee</t>
        </is>
      </c>
      <c r="E189" s="27" t="inlineStr">
        <is>
          <t>Le front autorise est accepte avec ses cookies et une origine inconnue refusee</t>
        </is>
      </c>
    </row>
  </sheetData>
  <pageMargins left="0.75" right="0.75" top="1" bottom="1" header="0.5" footer="0.5"/>
</worksheet>
</file>

<file path=xl/worksheets/sheet8.xml><?xml version="1.0" encoding="utf-8"?>
<worksheet xmlns="http://schemas.openxmlformats.org/spreadsheetml/2006/main">
  <sheetPr>
    <tabColor rgb="008EA9DB"/>
    <outlinePr summaryBelow="1" summaryRight="1"/>
    <pageSetUpPr/>
  </sheetPr>
  <dimension ref="A1:H19"/>
  <sheetViews>
    <sheetView showGridLines="0" workbookViewId="0">
      <pane ySplit="4" topLeftCell="A5" activePane="bottomLeft" state="frozen"/>
      <selection pane="bottomLeft" activeCell="A1" sqref="A1"/>
    </sheetView>
  </sheetViews>
  <sheetFormatPr baseColWidth="8" defaultRowHeight="15"/>
  <cols>
    <col width="30" customWidth="1" min="1" max="1"/>
    <col width="24" customWidth="1" min="2" max="2"/>
    <col width="22" customWidth="1" min="3" max="3"/>
    <col width="18" customWidth="1" min="4" max="4"/>
    <col width="52" customWidth="1" min="5" max="5"/>
    <col width="60" customWidth="1" min="6" max="6"/>
    <col width="30" customWidth="1" min="7" max="7"/>
    <col width="16" customWidth="1" min="8" max="8"/>
  </cols>
  <sheetData>
    <row r="1" ht="26" customHeight="1">
      <c r="A1" s="1" t="inlineStr">
        <is>
          <t>Comptes de test à créer sur l'environnement de recette</t>
        </is>
      </c>
    </row>
    <row r="2">
      <c r="A2" s="2" t="inlineStr">
        <is>
          <t>Un compte par profil, avec une adresse de test. Aucun mot de passe n'est consigné ici : chaque compte choisit le sien à l'activation (lien reçu par e-mail).</t>
        </is>
      </c>
    </row>
    <row r="4" ht="32" customHeight="1">
      <c r="A4" s="24" t="inlineStr">
        <is>
          <t>Profil</t>
        </is>
      </c>
      <c r="B4" s="24" t="inlineStr">
        <is>
          <t>Rôle livré</t>
        </is>
      </c>
      <c r="C4" s="24" t="inlineStr">
        <is>
          <t>Périmètre</t>
        </is>
      </c>
      <c r="D4" s="24" t="inlineStr">
        <is>
          <t>Second facteur</t>
        </is>
      </c>
      <c r="E4" s="24" t="inlineStr">
        <is>
          <t>Usage principal en recette</t>
        </is>
      </c>
      <c r="F4" s="24" t="inlineStr">
        <is>
          <t>Droits clés</t>
        </is>
      </c>
      <c r="G4" s="24" t="inlineStr">
        <is>
          <t>Adresse e-mail du compte</t>
        </is>
      </c>
      <c r="H4" s="24" t="inlineStr">
        <is>
          <t>Créé le</t>
        </is>
      </c>
    </row>
    <row r="5" ht="18" customHeight="1">
      <c r="A5" s="44" t="inlineStr">
        <is>
          <t>Administrateur</t>
        </is>
      </c>
      <c r="B5" s="27" t="inlineStr">
        <is>
          <t>admin</t>
        </is>
      </c>
      <c r="C5" s="27" t="inlineStr">
        <is>
          <t>Global</t>
        </is>
      </c>
      <c r="D5" s="27" t="inlineStr">
        <is>
          <t>Oui (obligatoire)</t>
        </is>
      </c>
      <c r="E5" s="27" t="inlineStr">
        <is>
          <t>Paramétrage, rôles, import du stock initial</t>
        </is>
      </c>
      <c r="F5" s="27" t="inlineStr">
        <is>
          <t>administration : tout ; stock : importer ; catalogue : tout</t>
        </is>
      </c>
      <c r="G5" s="27" t="n"/>
      <c r="H5" s="28" t="n"/>
    </row>
    <row r="6" ht="18" customHeight="1">
      <c r="A6" s="44" t="inlineStr">
        <is>
          <t>Direction</t>
        </is>
      </c>
      <c r="B6" s="27" t="inlineStr">
        <is>
          <t>direction</t>
        </is>
      </c>
      <c r="C6" s="27" t="inlineStr">
        <is>
          <t>Global</t>
        </is>
      </c>
      <c r="D6" s="27" t="inlineStr">
        <is>
          <t>Oui (obligatoire)</t>
        </is>
      </c>
      <c r="E6" s="27" t="inlineStr">
        <is>
          <t>Vues consolidées, validations, retour arrière de commande</t>
        </is>
      </c>
      <c r="F6" s="27" t="inlineStr">
        <is>
          <t>validations V ; prix d'achat ; stock : bloquer ; retour arrière</t>
        </is>
      </c>
      <c r="G6" s="27" t="n"/>
      <c r="H6" s="28" t="n"/>
    </row>
    <row r="7" ht="18" customHeight="1">
      <c r="A7" s="44" t="inlineStr">
        <is>
          <t>Responsable commercial</t>
        </is>
      </c>
      <c r="B7" s="27" t="inlineStr">
        <is>
          <t>responsable_commercial</t>
        </is>
      </c>
      <c r="C7" s="27" t="inlineStr">
        <is>
          <t>Selon affectation</t>
        </is>
      </c>
      <c r="D7" s="27" t="inlineStr">
        <is>
          <t>Non</t>
        </is>
      </c>
      <c r="E7" s="27" t="inlineStr">
        <is>
          <t>Catalogue et prix, clients</t>
        </is>
      </c>
      <c r="F7" s="27" t="inlineStr">
        <is>
          <t>catalogue : C ; clients, commandes : CV</t>
        </is>
      </c>
      <c r="G7" s="27" t="n"/>
      <c r="H7" s="28" t="n"/>
    </row>
    <row r="8" ht="18" customHeight="1">
      <c r="A8" s="44" t="inlineStr">
        <is>
          <t>Commercial</t>
        </is>
      </c>
      <c r="B8" s="27" t="inlineStr">
        <is>
          <t>commercial</t>
        </is>
      </c>
      <c r="C8" s="27" t="inlineStr">
        <is>
          <t>Ses emplacements</t>
        </is>
      </c>
      <c r="D8" s="27" t="inlineStr">
        <is>
          <t>Non</t>
        </is>
      </c>
      <c r="E8" s="27" t="inlineStr">
        <is>
          <t>Tableau de bord Commercial, consultation du stock</t>
        </is>
      </c>
      <c r="F8" s="27" t="inlineStr">
        <is>
          <t>stock : voir ; pas de prix d'achat</t>
        </is>
      </c>
      <c r="G8" s="27" t="n"/>
      <c r="H8" s="28" t="n"/>
    </row>
    <row r="9" ht="18" customHeight="1">
      <c r="A9" s="44" t="inlineStr">
        <is>
          <t>Comptabilité / Caisse</t>
        </is>
      </c>
      <c r="B9" s="27" t="inlineStr">
        <is>
          <t>comptabilite_caisse</t>
        </is>
      </c>
      <c r="C9" s="27" t="inlineStr">
        <is>
          <t>Selon affectation</t>
        </is>
      </c>
      <c r="D9" s="27" t="inlineStr">
        <is>
          <t>Oui (obligatoire)</t>
        </is>
      </c>
      <c r="E9" s="27" t="inlineStr">
        <is>
          <t>Coûts, factures (lots suivants)</t>
        </is>
      </c>
      <c r="F9" s="27" t="inlineStr">
        <is>
          <t>prix d'achat ; coût de revient : CV ; exports</t>
        </is>
      </c>
      <c r="G9" s="27" t="n"/>
      <c r="H9" s="28" t="n"/>
    </row>
    <row r="10" ht="30.4" customHeight="1">
      <c r="A10" s="44" t="inlineStr">
        <is>
          <t>Magasin (responsable)</t>
        </is>
      </c>
      <c r="B10" s="27" t="inlineStr">
        <is>
          <t>magasin</t>
        </is>
      </c>
      <c r="C10" s="27" t="inlineStr">
        <is>
          <t>Son magasin</t>
        </is>
      </c>
      <c r="D10" s="27" t="inlineStr">
        <is>
          <t>Non</t>
        </is>
      </c>
      <c r="E10" s="27" t="inlineStr">
        <is>
          <t>Réceptions, transferts, blocage, pointage d'ouverture</t>
        </is>
      </c>
      <c r="F10" s="27" t="inlineStr">
        <is>
          <t>réceptions : CV ; transferts : CV ; stock : modifier, bloquer ; inventaires : C</t>
        </is>
      </c>
      <c r="G10" s="27" t="n"/>
      <c r="H10" s="28" t="n"/>
    </row>
    <row r="11" ht="18" customHeight="1">
      <c r="A11" s="44" t="inlineStr">
        <is>
          <t>Magasin (second utilisateur)</t>
        </is>
      </c>
      <c r="B11" s="27" t="inlineStr">
        <is>
          <t>magasin</t>
        </is>
      </c>
      <c r="C11" s="27" t="inlineStr">
        <is>
          <t>Son magasin</t>
        </is>
      </c>
      <c r="D11" s="27" t="inlineStr">
        <is>
          <t>Non</t>
        </is>
      </c>
      <c r="E11" s="27" t="inlineStr">
        <is>
          <t>Seconde validation (réception, correction de numéro)</t>
        </is>
      </c>
      <c r="F11" s="27" t="inlineStr">
        <is>
          <t>idem Magasin : indispensable pour la séparation des tâches</t>
        </is>
      </c>
      <c r="G11" s="27" t="n"/>
      <c r="H11" s="28" t="n"/>
    </row>
    <row r="12" ht="30.4" customHeight="1">
      <c r="A12" s="44" t="inlineStr">
        <is>
          <t>Contrôleur</t>
        </is>
      </c>
      <c r="B12" s="27" t="inlineStr">
        <is>
          <t>controleur</t>
        </is>
      </c>
      <c r="C12" s="27" t="inlineStr">
        <is>
          <t>Selon affectation</t>
        </is>
      </c>
      <c r="D12" s="27" t="inlineStr">
        <is>
          <t>Non</t>
        </is>
      </c>
      <c r="E12" s="27" t="inlineStr">
        <is>
          <t>Alertes, anomalies, blocage, corrections de numéro</t>
        </is>
      </c>
      <c r="F12" s="27" t="inlineStr">
        <is>
          <t>lecture large ; stock : modifier, bloquer ; inventaires : C ; anomalies : CV</t>
        </is>
      </c>
      <c r="G12" s="27" t="n"/>
      <c r="H12" s="28" t="n"/>
    </row>
    <row r="13" ht="18" customHeight="1">
      <c r="A13" s="44" t="inlineStr">
        <is>
          <t>Boutique</t>
        </is>
      </c>
      <c r="B13" s="27" t="inlineStr">
        <is>
          <t>boutique</t>
        </is>
      </c>
      <c r="C13" s="27" t="inlineStr">
        <is>
          <t>Sa boutique</t>
        </is>
      </c>
      <c r="D13" s="27" t="inlineStr">
        <is>
          <t>Non</t>
        </is>
      </c>
      <c r="E13" s="27" t="inlineStr">
        <is>
          <t>Réception de transferts, pointage d'ouverture</t>
        </is>
      </c>
      <c r="F13" s="27" t="inlineStr">
        <is>
          <t>transferts : C ; stock : voir ; inventaires : C</t>
        </is>
      </c>
      <c r="G13" s="27" t="n"/>
      <c r="H13" s="28" t="n"/>
    </row>
    <row r="14" ht="30.4" customHeight="1">
      <c r="A14" s="44" t="inlineStr">
        <is>
          <t>Acheteur (rôle personnalisé)</t>
        </is>
      </c>
      <c r="B14" s="27" t="inlineStr">
        <is>
          <t>acheteur</t>
        </is>
      </c>
      <c r="C14" s="27" t="inlineStr">
        <is>
          <t>Global</t>
        </is>
      </c>
      <c r="D14" s="27" t="inlineStr">
        <is>
          <t>Non</t>
        </is>
      </c>
      <c r="E14" s="27" t="inlineStr">
        <is>
          <t>Commandes fournisseur, arrivages, colisage, frais</t>
        </is>
      </c>
      <c r="F14" s="27" t="inlineStr">
        <is>
          <t>approvisionnements : tout ; prix d'achat : voir ; retour arrière (optionnel)</t>
        </is>
      </c>
      <c r="G14" s="27" t="n"/>
      <c r="H14" s="28" t="n"/>
    </row>
    <row r="15" ht="18" customHeight="1">
      <c r="A15" s="44" t="inlineStr">
        <is>
          <t>Compte des deux sites</t>
        </is>
      </c>
      <c r="B15" s="27" t="inlineStr">
        <is>
          <t>magasin</t>
        </is>
      </c>
      <c r="C15" s="27" t="inlineStr">
        <is>
          <t>Magasin et boutique</t>
        </is>
      </c>
      <c r="D15" s="27" t="inlineStr">
        <is>
          <t>Non</t>
        </is>
      </c>
      <c r="E15" s="27" t="inlineStr">
        <is>
          <t>Tests de séparation expéditeur/réceptionnaire (TC-TRF-005)</t>
        </is>
      </c>
      <c r="F15" s="27" t="inlineStr">
        <is>
          <t>idem Magasin, avec les deux emplacements</t>
        </is>
      </c>
      <c r="G15" s="27" t="n"/>
      <c r="H15" s="28" t="n"/>
    </row>
    <row r="17" ht="28" customHeight="1">
      <c r="A17" s="49" t="inlineStr">
        <is>
          <t>Prévoir au minimum : 2 comptes « Magasin » sur le même magasin (séparation des tâches), 1 compte « Boutique » par boutique, 1 compte « Magasin » rattaché aux deux sites, 1 contrôleur (destinataire des alertes).</t>
        </is>
      </c>
    </row>
    <row r="18" ht="28" customHeight="1">
      <c r="A18" s="49" t="inlineStr">
        <is>
          <t>Les rôles Administrateur, Direction et Comptabilité exigent le second facteur : prévoir une application d'authentification sur le téléphone de chaque testeur concerné et conserver les codes de secours.</t>
        </is>
      </c>
    </row>
    <row r="19" ht="28" customHeight="1">
      <c r="A19" s="49" t="inlineStr">
        <is>
          <t>Données de base à créer avant les tests : un magasin, deux boutiques, un fournisseur, deux modèles avec prix et format de châssis, un acheteur (rôle personnalisé avec les droits d'approvisionnement).</t>
        </is>
      </c>
    </row>
  </sheetData>
  <mergeCells count="3">
    <mergeCell ref="A18:H18"/>
    <mergeCell ref="A19:H19"/>
    <mergeCell ref="A17:H17"/>
  </mergeCells>
  <pageMargins left="0.75" right="0.75" top="1" bottom="1" header="0.5" footer="0.5"/>
</worksheet>
</file>

<file path=xl/worksheets/sheet9.xml><?xml version="1.0" encoding="utf-8"?>
<worksheet xmlns="http://schemas.openxmlformats.org/spreadsheetml/2006/main">
  <sheetPr>
    <tabColor rgb="008EA9DB"/>
    <outlinePr summaryBelow="1" summaryRight="1"/>
    <pageSetUpPr/>
  </sheetPr>
  <dimension ref="A1:L64"/>
  <sheetViews>
    <sheetView showGridLines="0" workbookViewId="0">
      <pane ySplit="4" topLeftCell="A5" activePane="bottomLeft" state="frozen"/>
      <selection pane="bottomLeft" activeCell="A1" sqref="A1"/>
    </sheetView>
  </sheetViews>
  <sheetFormatPr baseColWidth="8" defaultRowHeight="15"/>
  <cols>
    <col width="10" customWidth="1" min="1" max="1"/>
    <col width="12" customWidth="1" min="2" max="2"/>
    <col width="14" customWidth="1" min="3" max="3"/>
    <col width="12" customWidth="1" min="4" max="4"/>
    <col width="44" customWidth="1" min="5" max="5"/>
    <col width="52" customWidth="1" min="6" max="6"/>
    <col width="14" customWidth="1" min="7" max="7"/>
    <col width="18" customWidth="1" min="8" max="8"/>
    <col width="14" customWidth="1" min="9" max="9"/>
    <col width="14" customWidth="1" min="10" max="10"/>
    <col width="16" customWidth="1" min="11" max="11"/>
    <col width="30" customWidth="1" min="12" max="12"/>
  </cols>
  <sheetData>
    <row r="1" ht="26" customHeight="1">
      <c r="A1" s="1" t="inlineStr">
        <is>
          <t>Suivi des anomalies de recette</t>
        </is>
      </c>
    </row>
    <row r="2">
      <c r="A2" s="2" t="inlineStr">
        <is>
          <t>Une ligne par anomalie. Gravité : Bloquante (empêche de continuer), Majeure (fonction essentielle fausse), Mineure (confort, libellé, ergonomie).</t>
        </is>
      </c>
    </row>
    <row r="4" ht="32" customHeight="1">
      <c r="A4" s="24" t="inlineStr">
        <is>
          <t>N°</t>
        </is>
      </c>
      <c r="B4" s="24" t="inlineStr">
        <is>
          <t>Date</t>
        </is>
      </c>
      <c r="C4" s="24" t="inlineStr">
        <is>
          <t>Cas de test</t>
        </is>
      </c>
      <c r="D4" s="24" t="inlineStr">
        <is>
          <t>Gravité</t>
        </is>
      </c>
      <c r="E4" s="24" t="inlineStr">
        <is>
          <t>Description</t>
        </is>
      </c>
      <c r="F4" s="24" t="inlineStr">
        <is>
          <t>Étapes pour reproduire / preuve</t>
        </is>
      </c>
      <c r="G4" s="24" t="inlineStr">
        <is>
          <t>Statut</t>
        </is>
      </c>
      <c r="H4" s="24" t="inlineStr">
        <is>
          <t>Assignée à</t>
        </is>
      </c>
      <c r="I4" s="24" t="inlineStr">
        <is>
          <t>Version</t>
        </is>
      </c>
      <c r="J4" s="24" t="inlineStr">
        <is>
          <t>Date de correction</t>
        </is>
      </c>
      <c r="K4" s="24" t="inlineStr">
        <is>
          <t>Retest (résultat)</t>
        </is>
      </c>
      <c r="L4" s="24" t="inlineStr">
        <is>
          <t>Commentaire</t>
        </is>
      </c>
    </row>
    <row r="5" ht="30" customHeight="1">
      <c r="A5" s="28" t="inlineStr">
        <is>
          <t>ANO-001</t>
        </is>
      </c>
      <c r="B5" s="28" t="n"/>
      <c r="C5" s="28" t="n"/>
      <c r="D5" s="28" t="n"/>
      <c r="E5" s="27" t="n"/>
      <c r="F5" s="27" t="n"/>
      <c r="G5" s="28" t="n"/>
      <c r="H5" s="27" t="n"/>
      <c r="I5" s="28" t="n"/>
      <c r="J5" s="28" t="n"/>
      <c r="K5" s="28" t="n"/>
      <c r="L5" s="27" t="n"/>
    </row>
    <row r="6" ht="30" customHeight="1">
      <c r="A6" s="28" t="inlineStr">
        <is>
          <t>ANO-002</t>
        </is>
      </c>
      <c r="B6" s="28" t="n"/>
      <c r="C6" s="28" t="n"/>
      <c r="D6" s="28" t="n"/>
      <c r="E6" s="27" t="n"/>
      <c r="F6" s="27" t="n"/>
      <c r="G6" s="28" t="n"/>
      <c r="H6" s="27" t="n"/>
      <c r="I6" s="28" t="n"/>
      <c r="J6" s="28" t="n"/>
      <c r="K6" s="28" t="n"/>
      <c r="L6" s="27" t="n"/>
    </row>
    <row r="7" ht="30" customHeight="1">
      <c r="A7" s="28" t="inlineStr">
        <is>
          <t>ANO-003</t>
        </is>
      </c>
      <c r="B7" s="28" t="n"/>
      <c r="C7" s="28" t="n"/>
      <c r="D7" s="28" t="n"/>
      <c r="E7" s="27" t="n"/>
      <c r="F7" s="27" t="n"/>
      <c r="G7" s="28" t="n"/>
      <c r="H7" s="27" t="n"/>
      <c r="I7" s="28" t="n"/>
      <c r="J7" s="28" t="n"/>
      <c r="K7" s="28" t="n"/>
      <c r="L7" s="27" t="n"/>
    </row>
    <row r="8" ht="30" customHeight="1">
      <c r="A8" s="28" t="inlineStr">
        <is>
          <t>ANO-004</t>
        </is>
      </c>
      <c r="B8" s="28" t="n"/>
      <c r="C8" s="28" t="n"/>
      <c r="D8" s="28" t="n"/>
      <c r="E8" s="27" t="n"/>
      <c r="F8" s="27" t="n"/>
      <c r="G8" s="28" t="n"/>
      <c r="H8" s="27" t="n"/>
      <c r="I8" s="28" t="n"/>
      <c r="J8" s="28" t="n"/>
      <c r="K8" s="28" t="n"/>
      <c r="L8" s="27" t="n"/>
    </row>
    <row r="9" ht="30" customHeight="1">
      <c r="A9" s="28" t="inlineStr">
        <is>
          <t>ANO-005</t>
        </is>
      </c>
      <c r="B9" s="28" t="n"/>
      <c r="C9" s="28" t="n"/>
      <c r="D9" s="28" t="n"/>
      <c r="E9" s="27" t="n"/>
      <c r="F9" s="27" t="n"/>
      <c r="G9" s="28" t="n"/>
      <c r="H9" s="27" t="n"/>
      <c r="I9" s="28" t="n"/>
      <c r="J9" s="28" t="n"/>
      <c r="K9" s="28" t="n"/>
      <c r="L9" s="27" t="n"/>
    </row>
    <row r="10" ht="30" customHeight="1">
      <c r="A10" s="28" t="inlineStr">
        <is>
          <t>ANO-006</t>
        </is>
      </c>
      <c r="B10" s="28" t="n"/>
      <c r="C10" s="28" t="n"/>
      <c r="D10" s="28" t="n"/>
      <c r="E10" s="27" t="n"/>
      <c r="F10" s="27" t="n"/>
      <c r="G10" s="28" t="n"/>
      <c r="H10" s="27" t="n"/>
      <c r="I10" s="28" t="n"/>
      <c r="J10" s="28" t="n"/>
      <c r="K10" s="28" t="n"/>
      <c r="L10" s="27" t="n"/>
    </row>
    <row r="11" ht="30" customHeight="1">
      <c r="A11" s="28" t="inlineStr">
        <is>
          <t>ANO-007</t>
        </is>
      </c>
      <c r="B11" s="28" t="n"/>
      <c r="C11" s="28" t="n"/>
      <c r="D11" s="28" t="n"/>
      <c r="E11" s="27" t="n"/>
      <c r="F11" s="27" t="n"/>
      <c r="G11" s="28" t="n"/>
      <c r="H11" s="27" t="n"/>
      <c r="I11" s="28" t="n"/>
      <c r="J11" s="28" t="n"/>
      <c r="K11" s="28" t="n"/>
      <c r="L11" s="27" t="n"/>
    </row>
    <row r="12" ht="30" customHeight="1">
      <c r="A12" s="28" t="inlineStr">
        <is>
          <t>ANO-008</t>
        </is>
      </c>
      <c r="B12" s="28" t="n"/>
      <c r="C12" s="28" t="n"/>
      <c r="D12" s="28" t="n"/>
      <c r="E12" s="27" t="n"/>
      <c r="F12" s="27" t="n"/>
      <c r="G12" s="28" t="n"/>
      <c r="H12" s="27" t="n"/>
      <c r="I12" s="28" t="n"/>
      <c r="J12" s="28" t="n"/>
      <c r="K12" s="28" t="n"/>
      <c r="L12" s="27" t="n"/>
    </row>
    <row r="13" ht="30" customHeight="1">
      <c r="A13" s="28" t="inlineStr">
        <is>
          <t>ANO-009</t>
        </is>
      </c>
      <c r="B13" s="28" t="n"/>
      <c r="C13" s="28" t="n"/>
      <c r="D13" s="28" t="n"/>
      <c r="E13" s="27" t="n"/>
      <c r="F13" s="27" t="n"/>
      <c r="G13" s="28" t="n"/>
      <c r="H13" s="27" t="n"/>
      <c r="I13" s="28" t="n"/>
      <c r="J13" s="28" t="n"/>
      <c r="K13" s="28" t="n"/>
      <c r="L13" s="27" t="n"/>
    </row>
    <row r="14" ht="30" customHeight="1">
      <c r="A14" s="28" t="inlineStr">
        <is>
          <t>ANO-010</t>
        </is>
      </c>
      <c r="B14" s="28" t="n"/>
      <c r="C14" s="28" t="n"/>
      <c r="D14" s="28" t="n"/>
      <c r="E14" s="27" t="n"/>
      <c r="F14" s="27" t="n"/>
      <c r="G14" s="28" t="n"/>
      <c r="H14" s="27" t="n"/>
      <c r="I14" s="28" t="n"/>
      <c r="J14" s="28" t="n"/>
      <c r="K14" s="28" t="n"/>
      <c r="L14" s="27" t="n"/>
    </row>
    <row r="15" ht="30" customHeight="1">
      <c r="A15" s="28" t="inlineStr">
        <is>
          <t>ANO-011</t>
        </is>
      </c>
      <c r="B15" s="28" t="n"/>
      <c r="C15" s="28" t="n"/>
      <c r="D15" s="28" t="n"/>
      <c r="E15" s="27" t="n"/>
      <c r="F15" s="27" t="n"/>
      <c r="G15" s="28" t="n"/>
      <c r="H15" s="27" t="n"/>
      <c r="I15" s="28" t="n"/>
      <c r="J15" s="28" t="n"/>
      <c r="K15" s="28" t="n"/>
      <c r="L15" s="27" t="n"/>
    </row>
    <row r="16" ht="30" customHeight="1">
      <c r="A16" s="28" t="inlineStr">
        <is>
          <t>ANO-012</t>
        </is>
      </c>
      <c r="B16" s="28" t="n"/>
      <c r="C16" s="28" t="n"/>
      <c r="D16" s="28" t="n"/>
      <c r="E16" s="27" t="n"/>
      <c r="F16" s="27" t="n"/>
      <c r="G16" s="28" t="n"/>
      <c r="H16" s="27" t="n"/>
      <c r="I16" s="28" t="n"/>
      <c r="J16" s="28" t="n"/>
      <c r="K16" s="28" t="n"/>
      <c r="L16" s="27" t="n"/>
    </row>
    <row r="17" ht="30" customHeight="1">
      <c r="A17" s="28" t="inlineStr">
        <is>
          <t>ANO-013</t>
        </is>
      </c>
      <c r="B17" s="28" t="n"/>
      <c r="C17" s="28" t="n"/>
      <c r="D17" s="28" t="n"/>
      <c r="E17" s="27" t="n"/>
      <c r="F17" s="27" t="n"/>
      <c r="G17" s="28" t="n"/>
      <c r="H17" s="27" t="n"/>
      <c r="I17" s="28" t="n"/>
      <c r="J17" s="28" t="n"/>
      <c r="K17" s="28" t="n"/>
      <c r="L17" s="27" t="n"/>
    </row>
    <row r="18" ht="30" customHeight="1">
      <c r="A18" s="28" t="inlineStr">
        <is>
          <t>ANO-014</t>
        </is>
      </c>
      <c r="B18" s="28" t="n"/>
      <c r="C18" s="28" t="n"/>
      <c r="D18" s="28" t="n"/>
      <c r="E18" s="27" t="n"/>
      <c r="F18" s="27" t="n"/>
      <c r="G18" s="28" t="n"/>
      <c r="H18" s="27" t="n"/>
      <c r="I18" s="28" t="n"/>
      <c r="J18" s="28" t="n"/>
      <c r="K18" s="28" t="n"/>
      <c r="L18" s="27" t="n"/>
    </row>
    <row r="19" ht="30" customHeight="1">
      <c r="A19" s="28" t="inlineStr">
        <is>
          <t>ANO-015</t>
        </is>
      </c>
      <c r="B19" s="28" t="n"/>
      <c r="C19" s="28" t="n"/>
      <c r="D19" s="28" t="n"/>
      <c r="E19" s="27" t="n"/>
      <c r="F19" s="27" t="n"/>
      <c r="G19" s="28" t="n"/>
      <c r="H19" s="27" t="n"/>
      <c r="I19" s="28" t="n"/>
      <c r="J19" s="28" t="n"/>
      <c r="K19" s="28" t="n"/>
      <c r="L19" s="27" t="n"/>
    </row>
    <row r="20" ht="30" customHeight="1">
      <c r="A20" s="28" t="inlineStr">
        <is>
          <t>ANO-016</t>
        </is>
      </c>
      <c r="B20" s="28" t="n"/>
      <c r="C20" s="28" t="n"/>
      <c r="D20" s="28" t="n"/>
      <c r="E20" s="27" t="n"/>
      <c r="F20" s="27" t="n"/>
      <c r="G20" s="28" t="n"/>
      <c r="H20" s="27" t="n"/>
      <c r="I20" s="28" t="n"/>
      <c r="J20" s="28" t="n"/>
      <c r="K20" s="28" t="n"/>
      <c r="L20" s="27" t="n"/>
    </row>
    <row r="21" ht="30" customHeight="1">
      <c r="A21" s="28" t="inlineStr">
        <is>
          <t>ANO-017</t>
        </is>
      </c>
      <c r="B21" s="28" t="n"/>
      <c r="C21" s="28" t="n"/>
      <c r="D21" s="28" t="n"/>
      <c r="E21" s="27" t="n"/>
      <c r="F21" s="27" t="n"/>
      <c r="G21" s="28" t="n"/>
      <c r="H21" s="27" t="n"/>
      <c r="I21" s="28" t="n"/>
      <c r="J21" s="28" t="n"/>
      <c r="K21" s="28" t="n"/>
      <c r="L21" s="27" t="n"/>
    </row>
    <row r="22" ht="30" customHeight="1">
      <c r="A22" s="28" t="inlineStr">
        <is>
          <t>ANO-018</t>
        </is>
      </c>
      <c r="B22" s="28" t="n"/>
      <c r="C22" s="28" t="n"/>
      <c r="D22" s="28" t="n"/>
      <c r="E22" s="27" t="n"/>
      <c r="F22" s="27" t="n"/>
      <c r="G22" s="28" t="n"/>
      <c r="H22" s="27" t="n"/>
      <c r="I22" s="28" t="n"/>
      <c r="J22" s="28" t="n"/>
      <c r="K22" s="28" t="n"/>
      <c r="L22" s="27" t="n"/>
    </row>
    <row r="23" ht="30" customHeight="1">
      <c r="A23" s="28" t="inlineStr">
        <is>
          <t>ANO-019</t>
        </is>
      </c>
      <c r="B23" s="28" t="n"/>
      <c r="C23" s="28" t="n"/>
      <c r="D23" s="28" t="n"/>
      <c r="E23" s="27" t="n"/>
      <c r="F23" s="27" t="n"/>
      <c r="G23" s="28" t="n"/>
      <c r="H23" s="27" t="n"/>
      <c r="I23" s="28" t="n"/>
      <c r="J23" s="28" t="n"/>
      <c r="K23" s="28" t="n"/>
      <c r="L23" s="27" t="n"/>
    </row>
    <row r="24" ht="30" customHeight="1">
      <c r="A24" s="28" t="inlineStr">
        <is>
          <t>ANO-020</t>
        </is>
      </c>
      <c r="B24" s="28" t="n"/>
      <c r="C24" s="28" t="n"/>
      <c r="D24" s="28" t="n"/>
      <c r="E24" s="27" t="n"/>
      <c r="F24" s="27" t="n"/>
      <c r="G24" s="28" t="n"/>
      <c r="H24" s="27" t="n"/>
      <c r="I24" s="28" t="n"/>
      <c r="J24" s="28" t="n"/>
      <c r="K24" s="28" t="n"/>
      <c r="L24" s="27" t="n"/>
    </row>
    <row r="25" ht="30" customHeight="1">
      <c r="A25" s="28" t="inlineStr">
        <is>
          <t>ANO-021</t>
        </is>
      </c>
      <c r="B25" s="28" t="n"/>
      <c r="C25" s="28" t="n"/>
      <c r="D25" s="28" t="n"/>
      <c r="E25" s="27" t="n"/>
      <c r="F25" s="27" t="n"/>
      <c r="G25" s="28" t="n"/>
      <c r="H25" s="27" t="n"/>
      <c r="I25" s="28" t="n"/>
      <c r="J25" s="28" t="n"/>
      <c r="K25" s="28" t="n"/>
      <c r="L25" s="27" t="n"/>
    </row>
    <row r="26" ht="30" customHeight="1">
      <c r="A26" s="28" t="inlineStr">
        <is>
          <t>ANO-022</t>
        </is>
      </c>
      <c r="B26" s="28" t="n"/>
      <c r="C26" s="28" t="n"/>
      <c r="D26" s="28" t="n"/>
      <c r="E26" s="27" t="n"/>
      <c r="F26" s="27" t="n"/>
      <c r="G26" s="28" t="n"/>
      <c r="H26" s="27" t="n"/>
      <c r="I26" s="28" t="n"/>
      <c r="J26" s="28" t="n"/>
      <c r="K26" s="28" t="n"/>
      <c r="L26" s="27" t="n"/>
    </row>
    <row r="27" ht="30" customHeight="1">
      <c r="A27" s="28" t="inlineStr">
        <is>
          <t>ANO-023</t>
        </is>
      </c>
      <c r="B27" s="28" t="n"/>
      <c r="C27" s="28" t="n"/>
      <c r="D27" s="28" t="n"/>
      <c r="E27" s="27" t="n"/>
      <c r="F27" s="27" t="n"/>
      <c r="G27" s="28" t="n"/>
      <c r="H27" s="27" t="n"/>
      <c r="I27" s="28" t="n"/>
      <c r="J27" s="28" t="n"/>
      <c r="K27" s="28" t="n"/>
      <c r="L27" s="27" t="n"/>
    </row>
    <row r="28" ht="30" customHeight="1">
      <c r="A28" s="28" t="inlineStr">
        <is>
          <t>ANO-024</t>
        </is>
      </c>
      <c r="B28" s="28" t="n"/>
      <c r="C28" s="28" t="n"/>
      <c r="D28" s="28" t="n"/>
      <c r="E28" s="27" t="n"/>
      <c r="F28" s="27" t="n"/>
      <c r="G28" s="28" t="n"/>
      <c r="H28" s="27" t="n"/>
      <c r="I28" s="28" t="n"/>
      <c r="J28" s="28" t="n"/>
      <c r="K28" s="28" t="n"/>
      <c r="L28" s="27" t="n"/>
    </row>
    <row r="29" ht="30" customHeight="1">
      <c r="A29" s="28" t="inlineStr">
        <is>
          <t>ANO-025</t>
        </is>
      </c>
      <c r="B29" s="28" t="n"/>
      <c r="C29" s="28" t="n"/>
      <c r="D29" s="28" t="n"/>
      <c r="E29" s="27" t="n"/>
      <c r="F29" s="27" t="n"/>
      <c r="G29" s="28" t="n"/>
      <c r="H29" s="27" t="n"/>
      <c r="I29" s="28" t="n"/>
      <c r="J29" s="28" t="n"/>
      <c r="K29" s="28" t="n"/>
      <c r="L29" s="27" t="n"/>
    </row>
    <row r="30" ht="30" customHeight="1">
      <c r="A30" s="28" t="inlineStr">
        <is>
          <t>ANO-026</t>
        </is>
      </c>
      <c r="B30" s="28" t="n"/>
      <c r="C30" s="28" t="n"/>
      <c r="D30" s="28" t="n"/>
      <c r="E30" s="27" t="n"/>
      <c r="F30" s="27" t="n"/>
      <c r="G30" s="28" t="n"/>
      <c r="H30" s="27" t="n"/>
      <c r="I30" s="28" t="n"/>
      <c r="J30" s="28" t="n"/>
      <c r="K30" s="28" t="n"/>
      <c r="L30" s="27" t="n"/>
    </row>
    <row r="31" ht="30" customHeight="1">
      <c r="A31" s="28" t="inlineStr">
        <is>
          <t>ANO-027</t>
        </is>
      </c>
      <c r="B31" s="28" t="n"/>
      <c r="C31" s="28" t="n"/>
      <c r="D31" s="28" t="n"/>
      <c r="E31" s="27" t="n"/>
      <c r="F31" s="27" t="n"/>
      <c r="G31" s="28" t="n"/>
      <c r="H31" s="27" t="n"/>
      <c r="I31" s="28" t="n"/>
      <c r="J31" s="28" t="n"/>
      <c r="K31" s="28" t="n"/>
      <c r="L31" s="27" t="n"/>
    </row>
    <row r="32" ht="30" customHeight="1">
      <c r="A32" s="28" t="inlineStr">
        <is>
          <t>ANO-028</t>
        </is>
      </c>
      <c r="B32" s="28" t="n"/>
      <c r="C32" s="28" t="n"/>
      <c r="D32" s="28" t="n"/>
      <c r="E32" s="27" t="n"/>
      <c r="F32" s="27" t="n"/>
      <c r="G32" s="28" t="n"/>
      <c r="H32" s="27" t="n"/>
      <c r="I32" s="28" t="n"/>
      <c r="J32" s="28" t="n"/>
      <c r="K32" s="28" t="n"/>
      <c r="L32" s="27" t="n"/>
    </row>
    <row r="33" ht="30" customHeight="1">
      <c r="A33" s="28" t="inlineStr">
        <is>
          <t>ANO-029</t>
        </is>
      </c>
      <c r="B33" s="28" t="n"/>
      <c r="C33" s="28" t="n"/>
      <c r="D33" s="28" t="n"/>
      <c r="E33" s="27" t="n"/>
      <c r="F33" s="27" t="n"/>
      <c r="G33" s="28" t="n"/>
      <c r="H33" s="27" t="n"/>
      <c r="I33" s="28" t="n"/>
      <c r="J33" s="28" t="n"/>
      <c r="K33" s="28" t="n"/>
      <c r="L33" s="27" t="n"/>
    </row>
    <row r="34" ht="30" customHeight="1">
      <c r="A34" s="28" t="inlineStr">
        <is>
          <t>ANO-030</t>
        </is>
      </c>
      <c r="B34" s="28" t="n"/>
      <c r="C34" s="28" t="n"/>
      <c r="D34" s="28" t="n"/>
      <c r="E34" s="27" t="n"/>
      <c r="F34" s="27" t="n"/>
      <c r="G34" s="28" t="n"/>
      <c r="H34" s="27" t="n"/>
      <c r="I34" s="28" t="n"/>
      <c r="J34" s="28" t="n"/>
      <c r="K34" s="28" t="n"/>
      <c r="L34" s="27" t="n"/>
    </row>
    <row r="35" ht="30" customHeight="1">
      <c r="A35" s="28" t="inlineStr">
        <is>
          <t>ANO-031</t>
        </is>
      </c>
      <c r="B35" s="28" t="n"/>
      <c r="C35" s="28" t="n"/>
      <c r="D35" s="28" t="n"/>
      <c r="E35" s="27" t="n"/>
      <c r="F35" s="27" t="n"/>
      <c r="G35" s="28" t="n"/>
      <c r="H35" s="27" t="n"/>
      <c r="I35" s="28" t="n"/>
      <c r="J35" s="28" t="n"/>
      <c r="K35" s="28" t="n"/>
      <c r="L35" s="27" t="n"/>
    </row>
    <row r="36" ht="30" customHeight="1">
      <c r="A36" s="28" t="inlineStr">
        <is>
          <t>ANO-032</t>
        </is>
      </c>
      <c r="B36" s="28" t="n"/>
      <c r="C36" s="28" t="n"/>
      <c r="D36" s="28" t="n"/>
      <c r="E36" s="27" t="n"/>
      <c r="F36" s="27" t="n"/>
      <c r="G36" s="28" t="n"/>
      <c r="H36" s="27" t="n"/>
      <c r="I36" s="28" t="n"/>
      <c r="J36" s="28" t="n"/>
      <c r="K36" s="28" t="n"/>
      <c r="L36" s="27" t="n"/>
    </row>
    <row r="37" ht="30" customHeight="1">
      <c r="A37" s="28" t="inlineStr">
        <is>
          <t>ANO-033</t>
        </is>
      </c>
      <c r="B37" s="28" t="n"/>
      <c r="C37" s="28" t="n"/>
      <c r="D37" s="28" t="n"/>
      <c r="E37" s="27" t="n"/>
      <c r="F37" s="27" t="n"/>
      <c r="G37" s="28" t="n"/>
      <c r="H37" s="27" t="n"/>
      <c r="I37" s="28" t="n"/>
      <c r="J37" s="28" t="n"/>
      <c r="K37" s="28" t="n"/>
      <c r="L37" s="27" t="n"/>
    </row>
    <row r="38" ht="30" customHeight="1">
      <c r="A38" s="28" t="inlineStr">
        <is>
          <t>ANO-034</t>
        </is>
      </c>
      <c r="B38" s="28" t="n"/>
      <c r="C38" s="28" t="n"/>
      <c r="D38" s="28" t="n"/>
      <c r="E38" s="27" t="n"/>
      <c r="F38" s="27" t="n"/>
      <c r="G38" s="28" t="n"/>
      <c r="H38" s="27" t="n"/>
      <c r="I38" s="28" t="n"/>
      <c r="J38" s="28" t="n"/>
      <c r="K38" s="28" t="n"/>
      <c r="L38" s="27" t="n"/>
    </row>
    <row r="39" ht="30" customHeight="1">
      <c r="A39" s="28" t="inlineStr">
        <is>
          <t>ANO-035</t>
        </is>
      </c>
      <c r="B39" s="28" t="n"/>
      <c r="C39" s="28" t="n"/>
      <c r="D39" s="28" t="n"/>
      <c r="E39" s="27" t="n"/>
      <c r="F39" s="27" t="n"/>
      <c r="G39" s="28" t="n"/>
      <c r="H39" s="27" t="n"/>
      <c r="I39" s="28" t="n"/>
      <c r="J39" s="28" t="n"/>
      <c r="K39" s="28" t="n"/>
      <c r="L39" s="27" t="n"/>
    </row>
    <row r="40" ht="30" customHeight="1">
      <c r="A40" s="28" t="inlineStr">
        <is>
          <t>ANO-036</t>
        </is>
      </c>
      <c r="B40" s="28" t="n"/>
      <c r="C40" s="28" t="n"/>
      <c r="D40" s="28" t="n"/>
      <c r="E40" s="27" t="n"/>
      <c r="F40" s="27" t="n"/>
      <c r="G40" s="28" t="n"/>
      <c r="H40" s="27" t="n"/>
      <c r="I40" s="28" t="n"/>
      <c r="J40" s="28" t="n"/>
      <c r="K40" s="28" t="n"/>
      <c r="L40" s="27" t="n"/>
    </row>
    <row r="41" ht="30" customHeight="1">
      <c r="A41" s="28" t="inlineStr">
        <is>
          <t>ANO-037</t>
        </is>
      </c>
      <c r="B41" s="28" t="n"/>
      <c r="C41" s="28" t="n"/>
      <c r="D41" s="28" t="n"/>
      <c r="E41" s="27" t="n"/>
      <c r="F41" s="27" t="n"/>
      <c r="G41" s="28" t="n"/>
      <c r="H41" s="27" t="n"/>
      <c r="I41" s="28" t="n"/>
      <c r="J41" s="28" t="n"/>
      <c r="K41" s="28" t="n"/>
      <c r="L41" s="27" t="n"/>
    </row>
    <row r="42" ht="30" customHeight="1">
      <c r="A42" s="28" t="inlineStr">
        <is>
          <t>ANO-038</t>
        </is>
      </c>
      <c r="B42" s="28" t="n"/>
      <c r="C42" s="28" t="n"/>
      <c r="D42" s="28" t="n"/>
      <c r="E42" s="27" t="n"/>
      <c r="F42" s="27" t="n"/>
      <c r="G42" s="28" t="n"/>
      <c r="H42" s="27" t="n"/>
      <c r="I42" s="28" t="n"/>
      <c r="J42" s="28" t="n"/>
      <c r="K42" s="28" t="n"/>
      <c r="L42" s="27" t="n"/>
    </row>
    <row r="43" ht="30" customHeight="1">
      <c r="A43" s="28" t="inlineStr">
        <is>
          <t>ANO-039</t>
        </is>
      </c>
      <c r="B43" s="28" t="n"/>
      <c r="C43" s="28" t="n"/>
      <c r="D43" s="28" t="n"/>
      <c r="E43" s="27" t="n"/>
      <c r="F43" s="27" t="n"/>
      <c r="G43" s="28" t="n"/>
      <c r="H43" s="27" t="n"/>
      <c r="I43" s="28" t="n"/>
      <c r="J43" s="28" t="n"/>
      <c r="K43" s="28" t="n"/>
      <c r="L43" s="27" t="n"/>
    </row>
    <row r="44" ht="30" customHeight="1">
      <c r="A44" s="28" t="inlineStr">
        <is>
          <t>ANO-040</t>
        </is>
      </c>
      <c r="B44" s="28" t="n"/>
      <c r="C44" s="28" t="n"/>
      <c r="D44" s="28" t="n"/>
      <c r="E44" s="27" t="n"/>
      <c r="F44" s="27" t="n"/>
      <c r="G44" s="28" t="n"/>
      <c r="H44" s="27" t="n"/>
      <c r="I44" s="28" t="n"/>
      <c r="J44" s="28" t="n"/>
      <c r="K44" s="28" t="n"/>
      <c r="L44" s="27" t="n"/>
    </row>
    <row r="45" ht="30" customHeight="1">
      <c r="A45" s="28" t="inlineStr">
        <is>
          <t>ANO-041</t>
        </is>
      </c>
      <c r="B45" s="28" t="n"/>
      <c r="C45" s="28" t="n"/>
      <c r="D45" s="28" t="n"/>
      <c r="E45" s="27" t="n"/>
      <c r="F45" s="27" t="n"/>
      <c r="G45" s="28" t="n"/>
      <c r="H45" s="27" t="n"/>
      <c r="I45" s="28" t="n"/>
      <c r="J45" s="28" t="n"/>
      <c r="K45" s="28" t="n"/>
      <c r="L45" s="27" t="n"/>
    </row>
    <row r="46" ht="30" customHeight="1">
      <c r="A46" s="28" t="inlineStr">
        <is>
          <t>ANO-042</t>
        </is>
      </c>
      <c r="B46" s="28" t="n"/>
      <c r="C46" s="28" t="n"/>
      <c r="D46" s="28" t="n"/>
      <c r="E46" s="27" t="n"/>
      <c r="F46" s="27" t="n"/>
      <c r="G46" s="28" t="n"/>
      <c r="H46" s="27" t="n"/>
      <c r="I46" s="28" t="n"/>
      <c r="J46" s="28" t="n"/>
      <c r="K46" s="28" t="n"/>
      <c r="L46" s="27" t="n"/>
    </row>
    <row r="47" ht="30" customHeight="1">
      <c r="A47" s="28" t="inlineStr">
        <is>
          <t>ANO-043</t>
        </is>
      </c>
      <c r="B47" s="28" t="n"/>
      <c r="C47" s="28" t="n"/>
      <c r="D47" s="28" t="n"/>
      <c r="E47" s="27" t="n"/>
      <c r="F47" s="27" t="n"/>
      <c r="G47" s="28" t="n"/>
      <c r="H47" s="27" t="n"/>
      <c r="I47" s="28" t="n"/>
      <c r="J47" s="28" t="n"/>
      <c r="K47" s="28" t="n"/>
      <c r="L47" s="27" t="n"/>
    </row>
    <row r="48" ht="30" customHeight="1">
      <c r="A48" s="28" t="inlineStr">
        <is>
          <t>ANO-044</t>
        </is>
      </c>
      <c r="B48" s="28" t="n"/>
      <c r="C48" s="28" t="n"/>
      <c r="D48" s="28" t="n"/>
      <c r="E48" s="27" t="n"/>
      <c r="F48" s="27" t="n"/>
      <c r="G48" s="28" t="n"/>
      <c r="H48" s="27" t="n"/>
      <c r="I48" s="28" t="n"/>
      <c r="J48" s="28" t="n"/>
      <c r="K48" s="28" t="n"/>
      <c r="L48" s="27" t="n"/>
    </row>
    <row r="49" ht="30" customHeight="1">
      <c r="A49" s="28" t="inlineStr">
        <is>
          <t>ANO-045</t>
        </is>
      </c>
      <c r="B49" s="28" t="n"/>
      <c r="C49" s="28" t="n"/>
      <c r="D49" s="28" t="n"/>
      <c r="E49" s="27" t="n"/>
      <c r="F49" s="27" t="n"/>
      <c r="G49" s="28" t="n"/>
      <c r="H49" s="27" t="n"/>
      <c r="I49" s="28" t="n"/>
      <c r="J49" s="28" t="n"/>
      <c r="K49" s="28" t="n"/>
      <c r="L49" s="27" t="n"/>
    </row>
    <row r="50" ht="30" customHeight="1">
      <c r="A50" s="28" t="inlineStr">
        <is>
          <t>ANO-046</t>
        </is>
      </c>
      <c r="B50" s="28" t="n"/>
      <c r="C50" s="28" t="n"/>
      <c r="D50" s="28" t="n"/>
      <c r="E50" s="27" t="n"/>
      <c r="F50" s="27" t="n"/>
      <c r="G50" s="28" t="n"/>
      <c r="H50" s="27" t="n"/>
      <c r="I50" s="28" t="n"/>
      <c r="J50" s="28" t="n"/>
      <c r="K50" s="28" t="n"/>
      <c r="L50" s="27" t="n"/>
    </row>
    <row r="51" ht="30" customHeight="1">
      <c r="A51" s="28" t="inlineStr">
        <is>
          <t>ANO-047</t>
        </is>
      </c>
      <c r="B51" s="28" t="n"/>
      <c r="C51" s="28" t="n"/>
      <c r="D51" s="28" t="n"/>
      <c r="E51" s="27" t="n"/>
      <c r="F51" s="27" t="n"/>
      <c r="G51" s="28" t="n"/>
      <c r="H51" s="27" t="n"/>
      <c r="I51" s="28" t="n"/>
      <c r="J51" s="28" t="n"/>
      <c r="K51" s="28" t="n"/>
      <c r="L51" s="27" t="n"/>
    </row>
    <row r="52" ht="30" customHeight="1">
      <c r="A52" s="28" t="inlineStr">
        <is>
          <t>ANO-048</t>
        </is>
      </c>
      <c r="B52" s="28" t="n"/>
      <c r="C52" s="28" t="n"/>
      <c r="D52" s="28" t="n"/>
      <c r="E52" s="27" t="n"/>
      <c r="F52" s="27" t="n"/>
      <c r="G52" s="28" t="n"/>
      <c r="H52" s="27" t="n"/>
      <c r="I52" s="28" t="n"/>
      <c r="J52" s="28" t="n"/>
      <c r="K52" s="28" t="n"/>
      <c r="L52" s="27" t="n"/>
    </row>
    <row r="53" ht="30" customHeight="1">
      <c r="A53" s="28" t="inlineStr">
        <is>
          <t>ANO-049</t>
        </is>
      </c>
      <c r="B53" s="28" t="n"/>
      <c r="C53" s="28" t="n"/>
      <c r="D53" s="28" t="n"/>
      <c r="E53" s="27" t="n"/>
      <c r="F53" s="27" t="n"/>
      <c r="G53" s="28" t="n"/>
      <c r="H53" s="27" t="n"/>
      <c r="I53" s="28" t="n"/>
      <c r="J53" s="28" t="n"/>
      <c r="K53" s="28" t="n"/>
      <c r="L53" s="27" t="n"/>
    </row>
    <row r="54" ht="30" customHeight="1">
      <c r="A54" s="28" t="inlineStr">
        <is>
          <t>ANO-050</t>
        </is>
      </c>
      <c r="B54" s="28" t="n"/>
      <c r="C54" s="28" t="n"/>
      <c r="D54" s="28" t="n"/>
      <c r="E54" s="27" t="n"/>
      <c r="F54" s="27" t="n"/>
      <c r="G54" s="28" t="n"/>
      <c r="H54" s="27" t="n"/>
      <c r="I54" s="28" t="n"/>
      <c r="J54" s="28" t="n"/>
      <c r="K54" s="28" t="n"/>
      <c r="L54" s="27" t="n"/>
    </row>
    <row r="55" ht="30" customHeight="1">
      <c r="A55" s="28" t="inlineStr">
        <is>
          <t>ANO-051</t>
        </is>
      </c>
      <c r="B55" s="28" t="n"/>
      <c r="C55" s="28" t="n"/>
      <c r="D55" s="28" t="n"/>
      <c r="E55" s="27" t="n"/>
      <c r="F55" s="27" t="n"/>
      <c r="G55" s="28" t="n"/>
      <c r="H55" s="27" t="n"/>
      <c r="I55" s="28" t="n"/>
      <c r="J55" s="28" t="n"/>
      <c r="K55" s="28" t="n"/>
      <c r="L55" s="27" t="n"/>
    </row>
    <row r="56" ht="30" customHeight="1">
      <c r="A56" s="28" t="inlineStr">
        <is>
          <t>ANO-052</t>
        </is>
      </c>
      <c r="B56" s="28" t="n"/>
      <c r="C56" s="28" t="n"/>
      <c r="D56" s="28" t="n"/>
      <c r="E56" s="27" t="n"/>
      <c r="F56" s="27" t="n"/>
      <c r="G56" s="28" t="n"/>
      <c r="H56" s="27" t="n"/>
      <c r="I56" s="28" t="n"/>
      <c r="J56" s="28" t="n"/>
      <c r="K56" s="28" t="n"/>
      <c r="L56" s="27" t="n"/>
    </row>
    <row r="57" ht="30" customHeight="1">
      <c r="A57" s="28" t="inlineStr">
        <is>
          <t>ANO-053</t>
        </is>
      </c>
      <c r="B57" s="28" t="n"/>
      <c r="C57" s="28" t="n"/>
      <c r="D57" s="28" t="n"/>
      <c r="E57" s="27" t="n"/>
      <c r="F57" s="27" t="n"/>
      <c r="G57" s="28" t="n"/>
      <c r="H57" s="27" t="n"/>
      <c r="I57" s="28" t="n"/>
      <c r="J57" s="28" t="n"/>
      <c r="K57" s="28" t="n"/>
      <c r="L57" s="27" t="n"/>
    </row>
    <row r="58" ht="30" customHeight="1">
      <c r="A58" s="28" t="inlineStr">
        <is>
          <t>ANO-054</t>
        </is>
      </c>
      <c r="B58" s="28" t="n"/>
      <c r="C58" s="28" t="n"/>
      <c r="D58" s="28" t="n"/>
      <c r="E58" s="27" t="n"/>
      <c r="F58" s="27" t="n"/>
      <c r="G58" s="28" t="n"/>
      <c r="H58" s="27" t="n"/>
      <c r="I58" s="28" t="n"/>
      <c r="J58" s="28" t="n"/>
      <c r="K58" s="28" t="n"/>
      <c r="L58" s="27" t="n"/>
    </row>
    <row r="59" ht="30" customHeight="1">
      <c r="A59" s="28" t="inlineStr">
        <is>
          <t>ANO-055</t>
        </is>
      </c>
      <c r="B59" s="28" t="n"/>
      <c r="C59" s="28" t="n"/>
      <c r="D59" s="28" t="n"/>
      <c r="E59" s="27" t="n"/>
      <c r="F59" s="27" t="n"/>
      <c r="G59" s="28" t="n"/>
      <c r="H59" s="27" t="n"/>
      <c r="I59" s="28" t="n"/>
      <c r="J59" s="28" t="n"/>
      <c r="K59" s="28" t="n"/>
      <c r="L59" s="27" t="n"/>
    </row>
    <row r="60" ht="30" customHeight="1">
      <c r="A60" s="28" t="inlineStr">
        <is>
          <t>ANO-056</t>
        </is>
      </c>
      <c r="B60" s="28" t="n"/>
      <c r="C60" s="28" t="n"/>
      <c r="D60" s="28" t="n"/>
      <c r="E60" s="27" t="n"/>
      <c r="F60" s="27" t="n"/>
      <c r="G60" s="28" t="n"/>
      <c r="H60" s="27" t="n"/>
      <c r="I60" s="28" t="n"/>
      <c r="J60" s="28" t="n"/>
      <c r="K60" s="28" t="n"/>
      <c r="L60" s="27" t="n"/>
    </row>
    <row r="61" ht="30" customHeight="1">
      <c r="A61" s="28" t="inlineStr">
        <is>
          <t>ANO-057</t>
        </is>
      </c>
      <c r="B61" s="28" t="n"/>
      <c r="C61" s="28" t="n"/>
      <c r="D61" s="28" t="n"/>
      <c r="E61" s="27" t="n"/>
      <c r="F61" s="27" t="n"/>
      <c r="G61" s="28" t="n"/>
      <c r="H61" s="27" t="n"/>
      <c r="I61" s="28" t="n"/>
      <c r="J61" s="28" t="n"/>
      <c r="K61" s="28" t="n"/>
      <c r="L61" s="27" t="n"/>
    </row>
    <row r="62" ht="30" customHeight="1">
      <c r="A62" s="28" t="inlineStr">
        <is>
          <t>ANO-058</t>
        </is>
      </c>
      <c r="B62" s="28" t="n"/>
      <c r="C62" s="28" t="n"/>
      <c r="D62" s="28" t="n"/>
      <c r="E62" s="27" t="n"/>
      <c r="F62" s="27" t="n"/>
      <c r="G62" s="28" t="n"/>
      <c r="H62" s="27" t="n"/>
      <c r="I62" s="28" t="n"/>
      <c r="J62" s="28" t="n"/>
      <c r="K62" s="28" t="n"/>
      <c r="L62" s="27" t="n"/>
    </row>
    <row r="63" ht="30" customHeight="1">
      <c r="A63" s="28" t="inlineStr">
        <is>
          <t>ANO-059</t>
        </is>
      </c>
      <c r="B63" s="28" t="n"/>
      <c r="C63" s="28" t="n"/>
      <c r="D63" s="28" t="n"/>
      <c r="E63" s="27" t="n"/>
      <c r="F63" s="27" t="n"/>
      <c r="G63" s="28" t="n"/>
      <c r="H63" s="27" t="n"/>
      <c r="I63" s="28" t="n"/>
      <c r="J63" s="28" t="n"/>
      <c r="K63" s="28" t="n"/>
      <c r="L63" s="27" t="n"/>
    </row>
    <row r="64" ht="30" customHeight="1">
      <c r="A64" s="28" t="inlineStr">
        <is>
          <t>ANO-060</t>
        </is>
      </c>
      <c r="B64" s="28" t="n"/>
      <c r="C64" s="28" t="n"/>
      <c r="D64" s="28" t="n"/>
      <c r="E64" s="27" t="n"/>
      <c r="F64" s="27" t="n"/>
      <c r="G64" s="28" t="n"/>
      <c r="H64" s="27" t="n"/>
      <c r="I64" s="28" t="n"/>
      <c r="J64" s="28" t="n"/>
      <c r="K64" s="28" t="n"/>
      <c r="L64" s="27" t="n"/>
    </row>
  </sheetData>
  <autoFilter ref="A4:L64"/>
  <conditionalFormatting sqref="D5:D300">
    <cfRule type="cellIs" priority="1" operator="equal" dxfId="13">
      <formula>"Bloquante"</formula>
    </cfRule>
    <cfRule type="cellIs" priority="2" operator="equal" dxfId="14">
      <formula>"Majeure"</formula>
    </cfRule>
    <cfRule type="cellIs" priority="3" operator="equal" dxfId="15">
      <formula>"Mineure"</formula>
    </cfRule>
  </conditionalFormatting>
  <conditionalFormatting sqref="G5:G300">
    <cfRule type="cellIs" priority="4" operator="equal" dxfId="16">
      <formula>"Fermée"</formula>
    </cfRule>
    <cfRule type="cellIs" priority="5" operator="equal" dxfId="13">
      <formula>"Ouverte"</formula>
    </cfRule>
    <cfRule type="cellIs" priority="6" operator="equal" dxfId="14">
      <formula>"En cours"</formula>
    </cfRule>
    <cfRule type="cellIs" priority="7" operator="equal" dxfId="15">
      <formula>"Corrigée"</formula>
    </cfRule>
  </conditionalFormatting>
  <dataValidations count="3">
    <dataValidation sqref="D5:D300" showDropDown="0" showInputMessage="0" showErrorMessage="0" allowBlank="1" type="list">
      <formula1>"Bloquante,Majeure,Mineure"</formula1>
    </dataValidation>
    <dataValidation sqref="G5:G300" showDropDown="0" showInputMessage="0" showErrorMessage="0" allowBlank="1" type="list">
      <formula1>"Ouverte,En cours,Corrigée,Fermée,Rejetée"</formula1>
    </dataValidation>
    <dataValidation sqref="K5:K300" showDropDown="0" showInputMessage="0" showErrorMessage="0" allowBlank="1" type="list">
      <formula1>"À retester,Réussi,Échec"</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IRIS SOLUTIONS</dc:creator>
  <dc:title>Plan de test — Jalon V1</dc:title>
  <dcterms:created xsi:type="dcterms:W3CDTF">2026-10-18T09:46:09Z</dcterms:created>
  <dcterms:modified xsi:type="dcterms:W3CDTF">2026-10-18T09:46:09Z</dcterms:modified>
</cp:coreProperties>
</file>